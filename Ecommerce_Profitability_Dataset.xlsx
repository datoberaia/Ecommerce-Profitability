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5d223685391c09f/Desktop/POWER BI/"/>
    </mc:Choice>
  </mc:AlternateContent>
  <xr:revisionPtr revIDLastSave="1" documentId="8_{344967A2-7219-41F6-BC42-1AC63A686642}" xr6:coauthVersionLast="47" xr6:coauthVersionMax="47" xr10:uidLastSave="{222E9D82-A322-474E-BC34-242AFC6B590D}"/>
  <bookViews>
    <workbookView xWindow="-108" yWindow="-108" windowWidth="23256" windowHeight="12456" activeTab="2" xr2:uid="{00000000-000D-0000-FFFF-FFFF00000000}"/>
  </bookViews>
  <sheets>
    <sheet name="Transactions" sheetId="1" r:id="rId1"/>
    <sheet name="Products" sheetId="2" r:id="rId2"/>
    <sheet name="Region Analysis" sheetId="4" r:id="rId3"/>
    <sheet name="Category Analysis" sheetId="6" r:id="rId4"/>
  </sheets>
  <definedNames>
    <definedName name="_xlnm._FilterDatabase" localSheetId="0" hidden="1">Transactions!$A$1:$O$1001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 a="1"/>
  <c r="K2" i="1" s="1"/>
  <c r="N2" i="1" s="1"/>
  <c r="N5" i="1"/>
  <c r="N6" i="1"/>
  <c r="N7" i="1"/>
  <c r="N8" i="1"/>
  <c r="N9" i="1"/>
  <c r="N10" i="1"/>
  <c r="N13" i="1"/>
  <c r="N14" i="1"/>
  <c r="N15" i="1"/>
  <c r="N16" i="1"/>
  <c r="N17" i="1"/>
  <c r="N18" i="1"/>
  <c r="N21" i="1"/>
  <c r="N22" i="1"/>
  <c r="N23" i="1"/>
  <c r="N24" i="1"/>
  <c r="N25" i="1"/>
  <c r="N26" i="1"/>
  <c r="N29" i="1"/>
  <c r="N30" i="1"/>
  <c r="N31" i="1"/>
  <c r="N32" i="1"/>
  <c r="N33" i="1"/>
  <c r="N34" i="1"/>
  <c r="N37" i="1"/>
  <c r="N38" i="1"/>
  <c r="N39" i="1"/>
  <c r="N40" i="1"/>
  <c r="N41" i="1"/>
  <c r="N42" i="1"/>
  <c r="N45" i="1"/>
  <c r="N46" i="1"/>
  <c r="N47" i="1"/>
  <c r="N48" i="1"/>
  <c r="N49" i="1"/>
  <c r="N50" i="1"/>
  <c r="N53" i="1"/>
  <c r="N54" i="1"/>
  <c r="N55" i="1"/>
  <c r="N56" i="1"/>
  <c r="N57" i="1"/>
  <c r="N58" i="1"/>
  <c r="N61" i="1"/>
  <c r="N62" i="1"/>
  <c r="N63" i="1"/>
  <c r="N64" i="1"/>
  <c r="N65" i="1"/>
  <c r="N66" i="1"/>
  <c r="N69" i="1"/>
  <c r="N70" i="1"/>
  <c r="N71" i="1"/>
  <c r="N72" i="1"/>
  <c r="N73" i="1"/>
  <c r="N74" i="1"/>
  <c r="N77" i="1"/>
  <c r="N78" i="1"/>
  <c r="N79" i="1"/>
  <c r="N80" i="1"/>
  <c r="N81" i="1"/>
  <c r="N82" i="1"/>
  <c r="N85" i="1"/>
  <c r="N86" i="1"/>
  <c r="N87" i="1"/>
  <c r="N88" i="1"/>
  <c r="N89" i="1"/>
  <c r="N90" i="1"/>
  <c r="N93" i="1"/>
  <c r="N94" i="1"/>
  <c r="N95" i="1"/>
  <c r="N96" i="1"/>
  <c r="N97" i="1"/>
  <c r="N98" i="1"/>
  <c r="N101" i="1"/>
  <c r="N102" i="1"/>
  <c r="N103" i="1"/>
  <c r="N104" i="1"/>
  <c r="N105" i="1"/>
  <c r="N106" i="1"/>
  <c r="N109" i="1"/>
  <c r="N110" i="1"/>
  <c r="N111" i="1"/>
  <c r="N112" i="1"/>
  <c r="N113" i="1"/>
  <c r="N114" i="1"/>
  <c r="N117" i="1"/>
  <c r="N118" i="1"/>
  <c r="N119" i="1"/>
  <c r="N120" i="1"/>
  <c r="N121" i="1"/>
  <c r="N122" i="1"/>
  <c r="N125" i="1"/>
  <c r="N126" i="1"/>
  <c r="N127" i="1"/>
  <c r="N128" i="1"/>
  <c r="N129" i="1"/>
  <c r="N130" i="1"/>
  <c r="N133" i="1"/>
  <c r="N134" i="1"/>
  <c r="N135" i="1"/>
  <c r="N136" i="1"/>
  <c r="N137" i="1"/>
  <c r="N138" i="1"/>
  <c r="N141" i="1"/>
  <c r="N142" i="1"/>
  <c r="N143" i="1"/>
  <c r="N144" i="1"/>
  <c r="N145" i="1"/>
  <c r="N146" i="1"/>
  <c r="N149" i="1"/>
  <c r="N150" i="1"/>
  <c r="N151" i="1"/>
  <c r="N152" i="1"/>
  <c r="N153" i="1"/>
  <c r="N154" i="1"/>
  <c r="N157" i="1"/>
  <c r="N158" i="1"/>
  <c r="N159" i="1"/>
  <c r="N160" i="1"/>
  <c r="N161" i="1"/>
  <c r="N162" i="1"/>
  <c r="N165" i="1"/>
  <c r="N166" i="1"/>
  <c r="N167" i="1"/>
  <c r="N168" i="1"/>
  <c r="N169" i="1"/>
  <c r="N170" i="1"/>
  <c r="N173" i="1"/>
  <c r="N174" i="1"/>
  <c r="N175" i="1"/>
  <c r="N176" i="1"/>
  <c r="N177" i="1"/>
  <c r="N178" i="1"/>
  <c r="N181" i="1"/>
  <c r="N182" i="1"/>
  <c r="N183" i="1"/>
  <c r="N184" i="1"/>
  <c r="N185" i="1"/>
  <c r="N186" i="1"/>
  <c r="N189" i="1"/>
  <c r="N190" i="1"/>
  <c r="N191" i="1"/>
  <c r="N192" i="1"/>
  <c r="N193" i="1"/>
  <c r="N194" i="1"/>
  <c r="N197" i="1"/>
  <c r="N198" i="1"/>
  <c r="N199" i="1"/>
  <c r="N200" i="1"/>
  <c r="N201" i="1"/>
  <c r="N202" i="1"/>
  <c r="N205" i="1"/>
  <c r="N206" i="1"/>
  <c r="N207" i="1"/>
  <c r="N208" i="1"/>
  <c r="N209" i="1"/>
  <c r="N210" i="1"/>
  <c r="N213" i="1"/>
  <c r="N214" i="1"/>
  <c r="N215" i="1"/>
  <c r="N216" i="1"/>
  <c r="N217" i="1"/>
  <c r="N218" i="1"/>
  <c r="N221" i="1"/>
  <c r="N222" i="1"/>
  <c r="N223" i="1"/>
  <c r="N224" i="1"/>
  <c r="N225" i="1"/>
  <c r="N226" i="1"/>
  <c r="N229" i="1"/>
  <c r="N230" i="1"/>
  <c r="N231" i="1"/>
  <c r="N232" i="1"/>
  <c r="N233" i="1"/>
  <c r="N234" i="1"/>
  <c r="N237" i="1"/>
  <c r="N238" i="1"/>
  <c r="N239" i="1"/>
  <c r="N240" i="1"/>
  <c r="N241" i="1"/>
  <c r="N242" i="1"/>
  <c r="N245" i="1"/>
  <c r="N246" i="1"/>
  <c r="N247" i="1"/>
  <c r="N248" i="1"/>
  <c r="N249" i="1"/>
  <c r="N250" i="1"/>
  <c r="N253" i="1"/>
  <c r="N254" i="1"/>
  <c r="N255" i="1"/>
  <c r="N256" i="1"/>
  <c r="N257" i="1"/>
  <c r="N258" i="1"/>
  <c r="N261" i="1"/>
  <c r="N262" i="1"/>
  <c r="N263" i="1"/>
  <c r="N264" i="1"/>
  <c r="N265" i="1"/>
  <c r="N266" i="1"/>
  <c r="N269" i="1"/>
  <c r="N270" i="1"/>
  <c r="N271" i="1"/>
  <c r="N272" i="1"/>
  <c r="N273" i="1"/>
  <c r="N274" i="1"/>
  <c r="N277" i="1"/>
  <c r="N278" i="1"/>
  <c r="N279" i="1"/>
  <c r="N280" i="1"/>
  <c r="N281" i="1"/>
  <c r="N282" i="1"/>
  <c r="N285" i="1"/>
  <c r="N286" i="1"/>
  <c r="N287" i="1"/>
  <c r="N288" i="1"/>
  <c r="N289" i="1"/>
  <c r="N290" i="1"/>
  <c r="N293" i="1"/>
  <c r="N294" i="1"/>
  <c r="N295" i="1"/>
  <c r="N296" i="1"/>
  <c r="N297" i="1"/>
  <c r="N298" i="1"/>
  <c r="N301" i="1"/>
  <c r="N302" i="1"/>
  <c r="N303" i="1"/>
  <c r="N304" i="1"/>
  <c r="N305" i="1"/>
  <c r="N306" i="1"/>
  <c r="N309" i="1"/>
  <c r="N310" i="1"/>
  <c r="N311" i="1"/>
  <c r="N312" i="1"/>
  <c r="N313" i="1"/>
  <c r="N314" i="1"/>
  <c r="N317" i="1"/>
  <c r="N318" i="1"/>
  <c r="N319" i="1"/>
  <c r="N320" i="1"/>
  <c r="N321" i="1"/>
  <c r="N322" i="1"/>
  <c r="N325" i="1"/>
  <c r="N326" i="1"/>
  <c r="N327" i="1"/>
  <c r="N328" i="1"/>
  <c r="N329" i="1"/>
  <c r="N330" i="1"/>
  <c r="N333" i="1"/>
  <c r="N334" i="1"/>
  <c r="N335" i="1"/>
  <c r="N336" i="1"/>
  <c r="N337" i="1"/>
  <c r="N338" i="1"/>
  <c r="N341" i="1"/>
  <c r="N342" i="1"/>
  <c r="N343" i="1"/>
  <c r="N344" i="1"/>
  <c r="N345" i="1"/>
  <c r="N346" i="1"/>
  <c r="N349" i="1"/>
  <c r="N350" i="1"/>
  <c r="N351" i="1"/>
  <c r="N352" i="1"/>
  <c r="N353" i="1"/>
  <c r="N354" i="1"/>
  <c r="N357" i="1"/>
  <c r="N358" i="1"/>
  <c r="N359" i="1"/>
  <c r="N360" i="1"/>
  <c r="N361" i="1"/>
  <c r="N362" i="1"/>
  <c r="N365" i="1"/>
  <c r="N366" i="1"/>
  <c r="N367" i="1"/>
  <c r="N368" i="1"/>
  <c r="N369" i="1"/>
  <c r="N370" i="1"/>
  <c r="N373" i="1"/>
  <c r="N374" i="1"/>
  <c r="N375" i="1"/>
  <c r="N376" i="1"/>
  <c r="N377" i="1"/>
  <c r="N378" i="1"/>
  <c r="N381" i="1"/>
  <c r="N382" i="1"/>
  <c r="N383" i="1"/>
  <c r="N384" i="1"/>
  <c r="N385" i="1"/>
  <c r="N386" i="1"/>
  <c r="N389" i="1"/>
  <c r="N390" i="1"/>
  <c r="N391" i="1"/>
  <c r="N392" i="1"/>
  <c r="N393" i="1"/>
  <c r="N394" i="1"/>
  <c r="N397" i="1"/>
  <c r="N398" i="1"/>
  <c r="N399" i="1"/>
  <c r="N400" i="1"/>
  <c r="N401" i="1"/>
  <c r="N402" i="1"/>
  <c r="N405" i="1"/>
  <c r="N406" i="1"/>
  <c r="N407" i="1"/>
  <c r="N408" i="1"/>
  <c r="N409" i="1"/>
  <c r="N410" i="1"/>
  <c r="N413" i="1"/>
  <c r="N414" i="1"/>
  <c r="N415" i="1"/>
  <c r="N416" i="1"/>
  <c r="N417" i="1"/>
  <c r="N418" i="1"/>
  <c r="N421" i="1"/>
  <c r="N422" i="1"/>
  <c r="N423" i="1"/>
  <c r="N424" i="1"/>
  <c r="N425" i="1"/>
  <c r="N426" i="1"/>
  <c r="N429" i="1"/>
  <c r="N430" i="1"/>
  <c r="N431" i="1"/>
  <c r="N432" i="1"/>
  <c r="N433" i="1"/>
  <c r="N434" i="1"/>
  <c r="N437" i="1"/>
  <c r="N438" i="1"/>
  <c r="N439" i="1"/>
  <c r="N440" i="1"/>
  <c r="N441" i="1"/>
  <c r="N442" i="1"/>
  <c r="N445" i="1"/>
  <c r="N446" i="1"/>
  <c r="N447" i="1"/>
  <c r="N448" i="1"/>
  <c r="N449" i="1"/>
  <c r="N450" i="1"/>
  <c r="N453" i="1"/>
  <c r="N454" i="1"/>
  <c r="N455" i="1"/>
  <c r="N456" i="1"/>
  <c r="N457" i="1"/>
  <c r="N458" i="1"/>
  <c r="N461" i="1"/>
  <c r="N462" i="1"/>
  <c r="N463" i="1"/>
  <c r="N464" i="1"/>
  <c r="N465" i="1"/>
  <c r="N466" i="1"/>
  <c r="N469" i="1"/>
  <c r="N470" i="1"/>
  <c r="N471" i="1"/>
  <c r="N472" i="1"/>
  <c r="N473" i="1"/>
  <c r="N474" i="1"/>
  <c r="N477" i="1"/>
  <c r="N478" i="1"/>
  <c r="N479" i="1"/>
  <c r="N480" i="1"/>
  <c r="N481" i="1"/>
  <c r="N482" i="1"/>
  <c r="N485" i="1"/>
  <c r="N486" i="1"/>
  <c r="N487" i="1"/>
  <c r="N488" i="1"/>
  <c r="N489" i="1"/>
  <c r="N490" i="1"/>
  <c r="N493" i="1"/>
  <c r="N494" i="1"/>
  <c r="N495" i="1"/>
  <c r="N496" i="1"/>
  <c r="N497" i="1"/>
  <c r="N498" i="1"/>
  <c r="N501" i="1"/>
  <c r="N502" i="1"/>
  <c r="N503" i="1"/>
  <c r="N504" i="1"/>
  <c r="N505" i="1"/>
  <c r="N506" i="1"/>
  <c r="N509" i="1"/>
  <c r="N510" i="1"/>
  <c r="N511" i="1"/>
  <c r="N512" i="1"/>
  <c r="N513" i="1"/>
  <c r="N514" i="1"/>
  <c r="N517" i="1"/>
  <c r="N518" i="1"/>
  <c r="N519" i="1"/>
  <c r="N520" i="1"/>
  <c r="N521" i="1"/>
  <c r="N522" i="1"/>
  <c r="N525" i="1"/>
  <c r="N526" i="1"/>
  <c r="N527" i="1"/>
  <c r="N528" i="1"/>
  <c r="N529" i="1"/>
  <c r="N530" i="1"/>
  <c r="N533" i="1"/>
  <c r="N534" i="1"/>
  <c r="N535" i="1"/>
  <c r="N536" i="1"/>
  <c r="N537" i="1"/>
  <c r="N538" i="1"/>
  <c r="N541" i="1"/>
  <c r="N542" i="1"/>
  <c r="N543" i="1"/>
  <c r="N544" i="1"/>
  <c r="N545" i="1"/>
  <c r="N546" i="1"/>
  <c r="N549" i="1"/>
  <c r="N550" i="1"/>
  <c r="N551" i="1"/>
  <c r="N552" i="1"/>
  <c r="N553" i="1"/>
  <c r="N554" i="1"/>
  <c r="N557" i="1"/>
  <c r="N558" i="1"/>
  <c r="N559" i="1"/>
  <c r="N560" i="1"/>
  <c r="N561" i="1"/>
  <c r="N562" i="1"/>
  <c r="N565" i="1"/>
  <c r="N566" i="1"/>
  <c r="N567" i="1"/>
  <c r="N568" i="1"/>
  <c r="N569" i="1"/>
  <c r="N570" i="1"/>
  <c r="N573" i="1"/>
  <c r="N574" i="1"/>
  <c r="N575" i="1"/>
  <c r="N576" i="1"/>
  <c r="N577" i="1"/>
  <c r="N578" i="1"/>
  <c r="N581" i="1"/>
  <c r="N582" i="1"/>
  <c r="N583" i="1"/>
  <c r="N584" i="1"/>
  <c r="N585" i="1"/>
  <c r="N586" i="1"/>
  <c r="N589" i="1"/>
  <c r="N590" i="1"/>
  <c r="N591" i="1"/>
  <c r="N592" i="1"/>
  <c r="N593" i="1"/>
  <c r="N594" i="1"/>
  <c r="N597" i="1"/>
  <c r="N598" i="1"/>
  <c r="N599" i="1"/>
  <c r="N600" i="1"/>
  <c r="N601" i="1"/>
  <c r="N602" i="1"/>
  <c r="N605" i="1"/>
  <c r="N606" i="1"/>
  <c r="N607" i="1"/>
  <c r="N608" i="1"/>
  <c r="N609" i="1"/>
  <c r="N610" i="1"/>
  <c r="N613" i="1"/>
  <c r="N614" i="1"/>
  <c r="N615" i="1"/>
  <c r="N616" i="1"/>
  <c r="N617" i="1"/>
  <c r="N618" i="1"/>
  <c r="N621" i="1"/>
  <c r="N622" i="1"/>
  <c r="N623" i="1"/>
  <c r="N624" i="1"/>
  <c r="N625" i="1"/>
  <c r="N626" i="1"/>
  <c r="N629" i="1"/>
  <c r="N630" i="1"/>
  <c r="N631" i="1"/>
  <c r="N632" i="1"/>
  <c r="N633" i="1"/>
  <c r="N634" i="1"/>
  <c r="N637" i="1"/>
  <c r="N638" i="1"/>
  <c r="N639" i="1"/>
  <c r="N640" i="1"/>
  <c r="N641" i="1"/>
  <c r="N642" i="1"/>
  <c r="N645" i="1"/>
  <c r="N646" i="1"/>
  <c r="N647" i="1"/>
  <c r="N648" i="1"/>
  <c r="N649" i="1"/>
  <c r="N650" i="1"/>
  <c r="N652" i="1"/>
  <c r="N653" i="1"/>
  <c r="N654" i="1"/>
  <c r="N655" i="1"/>
  <c r="N656" i="1"/>
  <c r="N657" i="1"/>
  <c r="N658" i="1"/>
  <c r="N660" i="1"/>
  <c r="N661" i="1"/>
  <c r="N662" i="1"/>
  <c r="N663" i="1"/>
  <c r="N664" i="1"/>
  <c r="N665" i="1"/>
  <c r="N666" i="1"/>
  <c r="N668" i="1"/>
  <c r="N669" i="1"/>
  <c r="N670" i="1"/>
  <c r="N671" i="1"/>
  <c r="N672" i="1"/>
  <c r="N673" i="1"/>
  <c r="N674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O988" i="1" l="1"/>
  <c r="O964" i="1"/>
  <c r="O940" i="1"/>
  <c r="O908" i="1"/>
  <c r="O876" i="1"/>
  <c r="O852" i="1"/>
  <c r="O828" i="1"/>
  <c r="O804" i="1"/>
  <c r="O780" i="1"/>
  <c r="O756" i="1"/>
  <c r="O740" i="1"/>
  <c r="O716" i="1"/>
  <c r="O692" i="1"/>
  <c r="O668" i="1"/>
  <c r="O644" i="1"/>
  <c r="O548" i="1"/>
  <c r="O524" i="1"/>
  <c r="O444" i="1"/>
  <c r="O228" i="1"/>
  <c r="O980" i="1"/>
  <c r="O956" i="1"/>
  <c r="O932" i="1"/>
  <c r="O916" i="1"/>
  <c r="O892" i="1"/>
  <c r="O860" i="1"/>
  <c r="O836" i="1"/>
  <c r="O812" i="1"/>
  <c r="O788" i="1"/>
  <c r="O764" i="1"/>
  <c r="O732" i="1"/>
  <c r="O708" i="1"/>
  <c r="O684" i="1"/>
  <c r="O660" i="1"/>
  <c r="O612" i="1"/>
  <c r="O588" i="1"/>
  <c r="O540" i="1"/>
  <c r="O348" i="1"/>
  <c r="O316" i="1"/>
  <c r="O996" i="1"/>
  <c r="O972" i="1"/>
  <c r="O948" i="1"/>
  <c r="O924" i="1"/>
  <c r="O900" i="1"/>
  <c r="O884" i="1"/>
  <c r="O844" i="1"/>
  <c r="O820" i="1"/>
  <c r="O796" i="1"/>
  <c r="O772" i="1"/>
  <c r="O748" i="1"/>
  <c r="O724" i="1"/>
  <c r="O700" i="1"/>
  <c r="O676" i="1"/>
  <c r="O652" i="1"/>
  <c r="O532" i="1"/>
  <c r="O452" i="1"/>
  <c r="O436" i="1"/>
  <c r="O340" i="1"/>
  <c r="O292" i="1"/>
  <c r="O284" i="1"/>
  <c r="O212" i="1"/>
  <c r="O164" i="1"/>
  <c r="O148" i="1"/>
  <c r="O36" i="1"/>
  <c r="O20" i="1"/>
  <c r="O995" i="1"/>
  <c r="O971" i="1"/>
  <c r="O947" i="1"/>
  <c r="O923" i="1"/>
  <c r="O899" i="1"/>
  <c r="O875" i="1"/>
  <c r="O851" i="1"/>
  <c r="O827" i="1"/>
  <c r="O795" i="1"/>
  <c r="O771" i="1"/>
  <c r="O747" i="1"/>
  <c r="O723" i="1"/>
  <c r="O699" i="1"/>
  <c r="O651" i="1"/>
  <c r="O627" i="1"/>
  <c r="O579" i="1"/>
  <c r="O451" i="1"/>
  <c r="O427" i="1"/>
  <c r="O419" i="1"/>
  <c r="O267" i="1"/>
  <c r="O203" i="1"/>
  <c r="O139" i="1"/>
  <c r="O75" i="1"/>
  <c r="O11" i="1"/>
  <c r="O140" i="1"/>
  <c r="O92" i="1"/>
  <c r="O52" i="1"/>
  <c r="O987" i="1"/>
  <c r="O955" i="1"/>
  <c r="O931" i="1"/>
  <c r="O907" i="1"/>
  <c r="O883" i="1"/>
  <c r="O859" i="1"/>
  <c r="O843" i="1"/>
  <c r="O819" i="1"/>
  <c r="O803" i="1"/>
  <c r="O779" i="1"/>
  <c r="O755" i="1"/>
  <c r="O731" i="1"/>
  <c r="O715" i="1"/>
  <c r="O691" i="1"/>
  <c r="O587" i="1"/>
  <c r="O563" i="1"/>
  <c r="O515" i="1"/>
  <c r="O483" i="1"/>
  <c r="O156" i="1"/>
  <c r="O132" i="1"/>
  <c r="O979" i="1"/>
  <c r="O963" i="1"/>
  <c r="O939" i="1"/>
  <c r="O915" i="1"/>
  <c r="O891" i="1"/>
  <c r="O867" i="1"/>
  <c r="O835" i="1"/>
  <c r="O811" i="1"/>
  <c r="O787" i="1"/>
  <c r="O763" i="1"/>
  <c r="O739" i="1"/>
  <c r="O707" i="1"/>
  <c r="O683" i="1"/>
  <c r="O571" i="1"/>
  <c r="O547" i="1"/>
  <c r="O523" i="1"/>
  <c r="N644" i="1"/>
  <c r="N636" i="1"/>
  <c r="O636" i="1" s="1"/>
  <c r="N628" i="1"/>
  <c r="O628" i="1" s="1"/>
  <c r="N620" i="1"/>
  <c r="O620" i="1" s="1"/>
  <c r="N612" i="1"/>
  <c r="N604" i="1"/>
  <c r="O604" i="1" s="1"/>
  <c r="N596" i="1"/>
  <c r="O596" i="1" s="1"/>
  <c r="N588" i="1"/>
  <c r="N580" i="1"/>
  <c r="O580" i="1" s="1"/>
  <c r="N572" i="1"/>
  <c r="O572" i="1" s="1"/>
  <c r="N564" i="1"/>
  <c r="O564" i="1" s="1"/>
  <c r="N556" i="1"/>
  <c r="O556" i="1" s="1"/>
  <c r="N548" i="1"/>
  <c r="N540" i="1"/>
  <c r="N532" i="1"/>
  <c r="N524" i="1"/>
  <c r="N516" i="1"/>
  <c r="O516" i="1" s="1"/>
  <c r="N508" i="1"/>
  <c r="O508" i="1" s="1"/>
  <c r="N500" i="1"/>
  <c r="O500" i="1" s="1"/>
  <c r="N492" i="1"/>
  <c r="O492" i="1" s="1"/>
  <c r="N484" i="1"/>
  <c r="N476" i="1"/>
  <c r="N468" i="1"/>
  <c r="N460" i="1"/>
  <c r="O460" i="1" s="1"/>
  <c r="N452" i="1"/>
  <c r="N444" i="1"/>
  <c r="N436" i="1"/>
  <c r="N428" i="1"/>
  <c r="O428" i="1" s="1"/>
  <c r="N420" i="1"/>
  <c r="O420" i="1" s="1"/>
  <c r="N412" i="1"/>
  <c r="O412" i="1" s="1"/>
  <c r="N404" i="1"/>
  <c r="O404" i="1" s="1"/>
  <c r="N396" i="1"/>
  <c r="O396" i="1" s="1"/>
  <c r="N388" i="1"/>
  <c r="O388" i="1" s="1"/>
  <c r="N380" i="1"/>
  <c r="O380" i="1" s="1"/>
  <c r="N372" i="1"/>
  <c r="O372" i="1" s="1"/>
  <c r="N364" i="1"/>
  <c r="O364" i="1" s="1"/>
  <c r="N356" i="1"/>
  <c r="O356" i="1" s="1"/>
  <c r="N348" i="1"/>
  <c r="N340" i="1"/>
  <c r="N332" i="1"/>
  <c r="O332" i="1" s="1"/>
  <c r="N324" i="1"/>
  <c r="O324" i="1" s="1"/>
  <c r="N316" i="1"/>
  <c r="N308" i="1"/>
  <c r="O308" i="1" s="1"/>
  <c r="N300" i="1"/>
  <c r="O300" i="1" s="1"/>
  <c r="N292" i="1"/>
  <c r="N284" i="1"/>
  <c r="N276" i="1"/>
  <c r="O276" i="1" s="1"/>
  <c r="N268" i="1"/>
  <c r="O268" i="1" s="1"/>
  <c r="N260" i="1"/>
  <c r="O260" i="1" s="1"/>
  <c r="N252" i="1"/>
  <c r="O252" i="1" s="1"/>
  <c r="N244" i="1"/>
  <c r="O244" i="1" s="1"/>
  <c r="N236" i="1"/>
  <c r="O236" i="1" s="1"/>
  <c r="N228" i="1"/>
  <c r="N220" i="1"/>
  <c r="O220" i="1" s="1"/>
  <c r="N212" i="1"/>
  <c r="N204" i="1"/>
  <c r="O204" i="1" s="1"/>
  <c r="N196" i="1"/>
  <c r="O196" i="1" s="1"/>
  <c r="N188" i="1"/>
  <c r="O188" i="1" s="1"/>
  <c r="N180" i="1"/>
  <c r="O180" i="1" s="1"/>
  <c r="N172" i="1"/>
  <c r="O172" i="1" s="1"/>
  <c r="N164" i="1"/>
  <c r="N156" i="1"/>
  <c r="N148" i="1"/>
  <c r="N140" i="1"/>
  <c r="N132" i="1"/>
  <c r="N124" i="1"/>
  <c r="O124" i="1" s="1"/>
  <c r="N116" i="1"/>
  <c r="O116" i="1" s="1"/>
  <c r="N108" i="1"/>
  <c r="O108" i="1" s="1"/>
  <c r="N100" i="1"/>
  <c r="O100" i="1" s="1"/>
  <c r="N92" i="1"/>
  <c r="N84" i="1"/>
  <c r="O84" i="1" s="1"/>
  <c r="N76" i="1"/>
  <c r="O76" i="1" s="1"/>
  <c r="N68" i="1"/>
  <c r="O68" i="1" s="1"/>
  <c r="N60" i="1"/>
  <c r="O60" i="1" s="1"/>
  <c r="N52" i="1"/>
  <c r="N44" i="1"/>
  <c r="O44" i="1" s="1"/>
  <c r="N36" i="1"/>
  <c r="N28" i="1"/>
  <c r="O28" i="1" s="1"/>
  <c r="N20" i="1"/>
  <c r="N12" i="1"/>
  <c r="O12" i="1" s="1"/>
  <c r="N4" i="1"/>
  <c r="O4" i="1" s="1"/>
  <c r="N675" i="1"/>
  <c r="O675" i="1" s="1"/>
  <c r="N667" i="1"/>
  <c r="O667" i="1" s="1"/>
  <c r="N659" i="1"/>
  <c r="O659" i="1" s="1"/>
  <c r="N651" i="1"/>
  <c r="N643" i="1"/>
  <c r="O643" i="1" s="1"/>
  <c r="N635" i="1"/>
  <c r="O635" i="1" s="1"/>
  <c r="N627" i="1"/>
  <c r="N619" i="1"/>
  <c r="O619" i="1" s="1"/>
  <c r="N611" i="1"/>
  <c r="O611" i="1" s="1"/>
  <c r="N603" i="1"/>
  <c r="O603" i="1" s="1"/>
  <c r="N595" i="1"/>
  <c r="O595" i="1" s="1"/>
  <c r="N587" i="1"/>
  <c r="N579" i="1"/>
  <c r="N571" i="1"/>
  <c r="N563" i="1"/>
  <c r="N555" i="1"/>
  <c r="O555" i="1" s="1"/>
  <c r="N547" i="1"/>
  <c r="N539" i="1"/>
  <c r="O539" i="1" s="1"/>
  <c r="N531" i="1"/>
  <c r="O531" i="1" s="1"/>
  <c r="N523" i="1"/>
  <c r="N515" i="1"/>
  <c r="N507" i="1"/>
  <c r="O507" i="1" s="1"/>
  <c r="N499" i="1"/>
  <c r="O499" i="1" s="1"/>
  <c r="N491" i="1"/>
  <c r="O491" i="1" s="1"/>
  <c r="N483" i="1"/>
  <c r="N475" i="1"/>
  <c r="O475" i="1" s="1"/>
  <c r="N467" i="1"/>
  <c r="O467" i="1" s="1"/>
  <c r="N459" i="1"/>
  <c r="O459" i="1" s="1"/>
  <c r="N451" i="1"/>
  <c r="N443" i="1"/>
  <c r="O443" i="1" s="1"/>
  <c r="N435" i="1"/>
  <c r="O435" i="1" s="1"/>
  <c r="N427" i="1"/>
  <c r="N419" i="1"/>
  <c r="N411" i="1"/>
  <c r="O411" i="1" s="1"/>
  <c r="N403" i="1"/>
  <c r="O403" i="1" s="1"/>
  <c r="N395" i="1"/>
  <c r="O395" i="1" s="1"/>
  <c r="N387" i="1"/>
  <c r="O387" i="1" s="1"/>
  <c r="N379" i="1"/>
  <c r="O379" i="1" s="1"/>
  <c r="N371" i="1"/>
  <c r="O371" i="1" s="1"/>
  <c r="N363" i="1"/>
  <c r="O363" i="1" s="1"/>
  <c r="N355" i="1"/>
  <c r="O355" i="1" s="1"/>
  <c r="N347" i="1"/>
  <c r="O347" i="1" s="1"/>
  <c r="N339" i="1"/>
  <c r="O339" i="1" s="1"/>
  <c r="N331" i="1"/>
  <c r="O331" i="1" s="1"/>
  <c r="N323" i="1"/>
  <c r="O323" i="1" s="1"/>
  <c r="N315" i="1"/>
  <c r="O315" i="1" s="1"/>
  <c r="N307" i="1"/>
  <c r="O307" i="1" s="1"/>
  <c r="N299" i="1"/>
  <c r="O299" i="1" s="1"/>
  <c r="N291" i="1"/>
  <c r="O291" i="1" s="1"/>
  <c r="N283" i="1"/>
  <c r="O283" i="1" s="1"/>
  <c r="N275" i="1"/>
  <c r="O275" i="1" s="1"/>
  <c r="N267" i="1"/>
  <c r="N259" i="1"/>
  <c r="O259" i="1" s="1"/>
  <c r="N251" i="1"/>
  <c r="O251" i="1" s="1"/>
  <c r="N243" i="1"/>
  <c r="O243" i="1" s="1"/>
  <c r="N235" i="1"/>
  <c r="O235" i="1" s="1"/>
  <c r="N227" i="1"/>
  <c r="O227" i="1" s="1"/>
  <c r="N219" i="1"/>
  <c r="O219" i="1" s="1"/>
  <c r="N211" i="1"/>
  <c r="O211" i="1" s="1"/>
  <c r="N203" i="1"/>
  <c r="N195" i="1"/>
  <c r="O195" i="1" s="1"/>
  <c r="N187" i="1"/>
  <c r="O187" i="1" s="1"/>
  <c r="N179" i="1"/>
  <c r="O179" i="1" s="1"/>
  <c r="N171" i="1"/>
  <c r="O171" i="1" s="1"/>
  <c r="N163" i="1"/>
  <c r="O163" i="1" s="1"/>
  <c r="N155" i="1"/>
  <c r="O155" i="1" s="1"/>
  <c r="N147" i="1"/>
  <c r="O147" i="1" s="1"/>
  <c r="N139" i="1"/>
  <c r="N131" i="1"/>
  <c r="O131" i="1" s="1"/>
  <c r="N123" i="1"/>
  <c r="O123" i="1" s="1"/>
  <c r="N115" i="1"/>
  <c r="O115" i="1" s="1"/>
  <c r="N107" i="1"/>
  <c r="O107" i="1" s="1"/>
  <c r="N99" i="1"/>
  <c r="O99" i="1" s="1"/>
  <c r="N91" i="1"/>
  <c r="O91" i="1" s="1"/>
  <c r="N83" i="1"/>
  <c r="O83" i="1" s="1"/>
  <c r="N75" i="1"/>
  <c r="N67" i="1"/>
  <c r="O67" i="1" s="1"/>
  <c r="N59" i="1"/>
  <c r="O59" i="1" s="1"/>
  <c r="N51" i="1"/>
  <c r="O51" i="1" s="1"/>
  <c r="N43" i="1"/>
  <c r="O43" i="1" s="1"/>
  <c r="N35" i="1"/>
  <c r="O35" i="1" s="1"/>
  <c r="N27" i="1"/>
  <c r="O27" i="1" s="1"/>
  <c r="N19" i="1"/>
  <c r="O19" i="1" s="1"/>
  <c r="N11" i="1"/>
  <c r="N3" i="1"/>
  <c r="O3" i="1" s="1"/>
  <c r="O869" i="1"/>
  <c r="O861" i="1"/>
  <c r="O853" i="1"/>
  <c r="O845" i="1"/>
  <c r="O837" i="1"/>
  <c r="O829" i="1"/>
  <c r="O821" i="1"/>
  <c r="O813" i="1"/>
  <c r="O805" i="1"/>
  <c r="O797" i="1"/>
  <c r="O789" i="1"/>
  <c r="O781" i="1"/>
  <c r="O773" i="1"/>
  <c r="O765" i="1"/>
  <c r="O757" i="1"/>
  <c r="O749" i="1"/>
  <c r="O741" i="1"/>
  <c r="O733" i="1"/>
  <c r="O725" i="1"/>
  <c r="O717" i="1"/>
  <c r="O709" i="1"/>
  <c r="O701" i="1"/>
  <c r="O693" i="1"/>
  <c r="O264" i="1"/>
  <c r="O990" i="1"/>
  <c r="O974" i="1"/>
  <c r="O958" i="1"/>
  <c r="O942" i="1"/>
  <c r="O918" i="1"/>
  <c r="O902" i="1"/>
  <c r="O878" i="1"/>
  <c r="O862" i="1"/>
  <c r="O846" i="1"/>
  <c r="O830" i="1"/>
  <c r="O806" i="1"/>
  <c r="O790" i="1"/>
  <c r="O774" i="1"/>
  <c r="O758" i="1"/>
  <c r="O742" i="1"/>
  <c r="O726" i="1"/>
  <c r="O678" i="1"/>
  <c r="O174" i="1"/>
  <c r="O150" i="1"/>
  <c r="O118" i="1"/>
  <c r="O54" i="1"/>
  <c r="O248" i="1"/>
  <c r="O622" i="1"/>
  <c r="O606" i="1"/>
  <c r="O590" i="1"/>
  <c r="O582" i="1"/>
  <c r="O566" i="1"/>
  <c r="O550" i="1"/>
  <c r="O534" i="1"/>
  <c r="O510" i="1"/>
  <c r="O494" i="1"/>
  <c r="O478" i="1"/>
  <c r="O462" i="1"/>
  <c r="O454" i="1"/>
  <c r="O430" i="1"/>
  <c r="O422" i="1"/>
  <c r="O406" i="1"/>
  <c r="O390" i="1"/>
  <c r="O374" i="1"/>
  <c r="O350" i="1"/>
  <c r="O334" i="1"/>
  <c r="O318" i="1"/>
  <c r="O302" i="1"/>
  <c r="O294" i="1"/>
  <c r="O278" i="1"/>
  <c r="O262" i="1"/>
  <c r="O246" i="1"/>
  <c r="O222" i="1"/>
  <c r="O206" i="1"/>
  <c r="O190" i="1"/>
  <c r="O166" i="1"/>
  <c r="O142" i="1"/>
  <c r="O126" i="1"/>
  <c r="O102" i="1"/>
  <c r="O86" i="1"/>
  <c r="O70" i="1"/>
  <c r="O38" i="1"/>
  <c r="O22" i="1"/>
  <c r="O989" i="1"/>
  <c r="O981" i="1"/>
  <c r="O965" i="1"/>
  <c r="O949" i="1"/>
  <c r="O933" i="1"/>
  <c r="O917" i="1"/>
  <c r="O909" i="1"/>
  <c r="O901" i="1"/>
  <c r="O885" i="1"/>
  <c r="O877" i="1"/>
  <c r="O685" i="1"/>
  <c r="O998" i="1"/>
  <c r="O982" i="1"/>
  <c r="O966" i="1"/>
  <c r="O950" i="1"/>
  <c r="O934" i="1"/>
  <c r="O926" i="1"/>
  <c r="O910" i="1"/>
  <c r="O886" i="1"/>
  <c r="O870" i="1"/>
  <c r="O854" i="1"/>
  <c r="O838" i="1"/>
  <c r="O822" i="1"/>
  <c r="O814" i="1"/>
  <c r="O798" i="1"/>
  <c r="O782" i="1"/>
  <c r="O766" i="1"/>
  <c r="O750" i="1"/>
  <c r="O734" i="1"/>
  <c r="O718" i="1"/>
  <c r="O702" i="1"/>
  <c r="O694" i="1"/>
  <c r="O686" i="1"/>
  <c r="O670" i="1"/>
  <c r="O662" i="1"/>
  <c r="O654" i="1"/>
  <c r="O646" i="1"/>
  <c r="O638" i="1"/>
  <c r="O630" i="1"/>
  <c r="O614" i="1"/>
  <c r="O598" i="1"/>
  <c r="O574" i="1"/>
  <c r="O558" i="1"/>
  <c r="O542" i="1"/>
  <c r="O526" i="1"/>
  <c r="O518" i="1"/>
  <c r="O502" i="1"/>
  <c r="O486" i="1"/>
  <c r="O470" i="1"/>
  <c r="O446" i="1"/>
  <c r="O438" i="1"/>
  <c r="O414" i="1"/>
  <c r="O398" i="1"/>
  <c r="O382" i="1"/>
  <c r="O366" i="1"/>
  <c r="O358" i="1"/>
  <c r="O342" i="1"/>
  <c r="O326" i="1"/>
  <c r="O310" i="1"/>
  <c r="O286" i="1"/>
  <c r="O270" i="1"/>
  <c r="O254" i="1"/>
  <c r="O238" i="1"/>
  <c r="O230" i="1"/>
  <c r="O214" i="1"/>
  <c r="O198" i="1"/>
  <c r="O182" i="1"/>
  <c r="O158" i="1"/>
  <c r="O134" i="1"/>
  <c r="O110" i="1"/>
  <c r="O94" i="1"/>
  <c r="O78" i="1"/>
  <c r="O62" i="1"/>
  <c r="O46" i="1"/>
  <c r="O30" i="1"/>
  <c r="O14" i="1"/>
  <c r="O997" i="1"/>
  <c r="O973" i="1"/>
  <c r="O957" i="1"/>
  <c r="O941" i="1"/>
  <c r="O925" i="1"/>
  <c r="O893" i="1"/>
  <c r="O993" i="1"/>
  <c r="O961" i="1"/>
  <c r="O913" i="1"/>
  <c r="O897" i="1"/>
  <c r="O865" i="1"/>
  <c r="O833" i="1"/>
  <c r="O801" i="1"/>
  <c r="O777" i="1"/>
  <c r="O737" i="1"/>
  <c r="O713" i="1"/>
  <c r="O689" i="1"/>
  <c r="O649" i="1"/>
  <c r="O609" i="1"/>
  <c r="O561" i="1"/>
  <c r="O529" i="1"/>
  <c r="O489" i="1"/>
  <c r="O457" i="1"/>
  <c r="O433" i="1"/>
  <c r="O401" i="1"/>
  <c r="O369" i="1"/>
  <c r="O353" i="1"/>
  <c r="O321" i="1"/>
  <c r="O289" i="1"/>
  <c r="O249" i="1"/>
  <c r="O225" i="1"/>
  <c r="O193" i="1"/>
  <c r="O161" i="1"/>
  <c r="O137" i="1"/>
  <c r="O113" i="1"/>
  <c r="O81" i="1"/>
  <c r="O41" i="1"/>
  <c r="O1000" i="1"/>
  <c r="O968" i="1"/>
  <c r="O952" i="1"/>
  <c r="O928" i="1"/>
  <c r="O896" i="1"/>
  <c r="O872" i="1"/>
  <c r="O840" i="1"/>
  <c r="O808" i="1"/>
  <c r="O776" i="1"/>
  <c r="O728" i="1"/>
  <c r="O696" i="1"/>
  <c r="O664" i="1"/>
  <c r="O640" i="1"/>
  <c r="O616" i="1"/>
  <c r="O600" i="1"/>
  <c r="O568" i="1"/>
  <c r="O544" i="1"/>
  <c r="O496" i="1"/>
  <c r="O232" i="1"/>
  <c r="O985" i="1"/>
  <c r="O953" i="1"/>
  <c r="O929" i="1"/>
  <c r="O881" i="1"/>
  <c r="O849" i="1"/>
  <c r="O817" i="1"/>
  <c r="O793" i="1"/>
  <c r="O761" i="1"/>
  <c r="O745" i="1"/>
  <c r="O721" i="1"/>
  <c r="O673" i="1"/>
  <c r="O633" i="1"/>
  <c r="O617" i="1"/>
  <c r="O585" i="1"/>
  <c r="O553" i="1"/>
  <c r="O521" i="1"/>
  <c r="O473" i="1"/>
  <c r="O449" i="1"/>
  <c r="O409" i="1"/>
  <c r="O377" i="1"/>
  <c r="O337" i="1"/>
  <c r="O305" i="1"/>
  <c r="O281" i="1"/>
  <c r="O257" i="1"/>
  <c r="O217" i="1"/>
  <c r="O185" i="1"/>
  <c r="O153" i="1"/>
  <c r="O129" i="1"/>
  <c r="O97" i="1"/>
  <c r="O57" i="1"/>
  <c r="O9" i="1"/>
  <c r="O984" i="1"/>
  <c r="O944" i="1"/>
  <c r="O904" i="1"/>
  <c r="O864" i="1"/>
  <c r="O824" i="1"/>
  <c r="O792" i="1"/>
  <c r="O760" i="1"/>
  <c r="O744" i="1"/>
  <c r="O720" i="1"/>
  <c r="O688" i="1"/>
  <c r="O656" i="1"/>
  <c r="O624" i="1"/>
  <c r="O592" i="1"/>
  <c r="O560" i="1"/>
  <c r="O528" i="1"/>
  <c r="O504" i="1"/>
  <c r="O472" i="1"/>
  <c r="O448" i="1"/>
  <c r="O432" i="1"/>
  <c r="O400" i="1"/>
  <c r="O376" i="1"/>
  <c r="O328" i="1"/>
  <c r="O256" i="1"/>
  <c r="O1001" i="1"/>
  <c r="O969" i="1"/>
  <c r="O921" i="1"/>
  <c r="O889" i="1"/>
  <c r="O857" i="1"/>
  <c r="O825" i="1"/>
  <c r="O785" i="1"/>
  <c r="O753" i="1"/>
  <c r="O705" i="1"/>
  <c r="O681" i="1"/>
  <c r="O657" i="1"/>
  <c r="O641" i="1"/>
  <c r="O601" i="1"/>
  <c r="O577" i="1"/>
  <c r="O537" i="1"/>
  <c r="O505" i="1"/>
  <c r="O481" i="1"/>
  <c r="O441" i="1"/>
  <c r="O417" i="1"/>
  <c r="O385" i="1"/>
  <c r="O345" i="1"/>
  <c r="O329" i="1"/>
  <c r="O297" i="1"/>
  <c r="O265" i="1"/>
  <c r="O233" i="1"/>
  <c r="O209" i="1"/>
  <c r="O177" i="1"/>
  <c r="O145" i="1"/>
  <c r="O105" i="1"/>
  <c r="O73" i="1"/>
  <c r="O49" i="1"/>
  <c r="O976" i="1"/>
  <c r="O936" i="1"/>
  <c r="O912" i="1"/>
  <c r="O880" i="1"/>
  <c r="O848" i="1"/>
  <c r="O816" i="1"/>
  <c r="O784" i="1"/>
  <c r="O752" i="1"/>
  <c r="O712" i="1"/>
  <c r="O672" i="1"/>
  <c r="O632" i="1"/>
  <c r="O584" i="1"/>
  <c r="O552" i="1"/>
  <c r="O520" i="1"/>
  <c r="O488" i="1"/>
  <c r="O464" i="1"/>
  <c r="O424" i="1"/>
  <c r="O408" i="1"/>
  <c r="O384" i="1"/>
  <c r="O360" i="1"/>
  <c r="O352" i="1"/>
  <c r="O336" i="1"/>
  <c r="O312" i="1"/>
  <c r="O296" i="1"/>
  <c r="O224" i="1"/>
  <c r="O977" i="1"/>
  <c r="O945" i="1"/>
  <c r="O937" i="1"/>
  <c r="O905" i="1"/>
  <c r="O873" i="1"/>
  <c r="O841" i="1"/>
  <c r="O809" i="1"/>
  <c r="O769" i="1"/>
  <c r="O729" i="1"/>
  <c r="O697" i="1"/>
  <c r="O665" i="1"/>
  <c r="O625" i="1"/>
  <c r="O593" i="1"/>
  <c r="O569" i="1"/>
  <c r="O545" i="1"/>
  <c r="O513" i="1"/>
  <c r="O497" i="1"/>
  <c r="O465" i="1"/>
  <c r="O425" i="1"/>
  <c r="O393" i="1"/>
  <c r="O361" i="1"/>
  <c r="O313" i="1"/>
  <c r="O273" i="1"/>
  <c r="O241" i="1"/>
  <c r="O201" i="1"/>
  <c r="O169" i="1"/>
  <c r="O121" i="1"/>
  <c r="O89" i="1"/>
  <c r="O65" i="1"/>
  <c r="O33" i="1"/>
  <c r="O992" i="1"/>
  <c r="O960" i="1"/>
  <c r="O920" i="1"/>
  <c r="O888" i="1"/>
  <c r="O856" i="1"/>
  <c r="O832" i="1"/>
  <c r="O800" i="1"/>
  <c r="O768" i="1"/>
  <c r="O736" i="1"/>
  <c r="O704" i="1"/>
  <c r="O680" i="1"/>
  <c r="O648" i="1"/>
  <c r="O608" i="1"/>
  <c r="O576" i="1"/>
  <c r="O536" i="1"/>
  <c r="O512" i="1"/>
  <c r="O480" i="1"/>
  <c r="O456" i="1"/>
  <c r="O440" i="1"/>
  <c r="O416" i="1"/>
  <c r="O392" i="1"/>
  <c r="O368" i="1"/>
  <c r="O344" i="1"/>
  <c r="O320" i="1"/>
  <c r="O304" i="1"/>
  <c r="O288" i="1"/>
  <c r="O280" i="1"/>
  <c r="O272" i="1"/>
  <c r="O240" i="1"/>
  <c r="O200" i="1"/>
  <c r="O160" i="1"/>
  <c r="O136" i="1"/>
  <c r="O96" i="1"/>
  <c r="O48" i="1"/>
  <c r="O991" i="1"/>
  <c r="O951" i="1"/>
  <c r="O911" i="1"/>
  <c r="O895" i="1"/>
  <c r="O863" i="1"/>
  <c r="O815" i="1"/>
  <c r="O775" i="1"/>
  <c r="O743" i="1"/>
  <c r="O719" i="1"/>
  <c r="O679" i="1"/>
  <c r="O655" i="1"/>
  <c r="O623" i="1"/>
  <c r="O591" i="1"/>
  <c r="O583" i="1"/>
  <c r="O575" i="1"/>
  <c r="O567" i="1"/>
  <c r="O559" i="1"/>
  <c r="O519" i="1"/>
  <c r="O511" i="1"/>
  <c r="O503" i="1"/>
  <c r="O495" i="1"/>
  <c r="O487" i="1"/>
  <c r="O479" i="1"/>
  <c r="O471" i="1"/>
  <c r="O463" i="1"/>
  <c r="O455" i="1"/>
  <c r="O447" i="1"/>
  <c r="O439" i="1"/>
  <c r="O431" i="1"/>
  <c r="O423" i="1"/>
  <c r="O415" i="1"/>
  <c r="O407" i="1"/>
  <c r="O399" i="1"/>
  <c r="O391" i="1"/>
  <c r="O383" i="1"/>
  <c r="O375" i="1"/>
  <c r="O367" i="1"/>
  <c r="O359" i="1"/>
  <c r="O351" i="1"/>
  <c r="O343" i="1"/>
  <c r="O335" i="1"/>
  <c r="O327" i="1"/>
  <c r="O319" i="1"/>
  <c r="O311" i="1"/>
  <c r="O303" i="1"/>
  <c r="O295" i="1"/>
  <c r="O287" i="1"/>
  <c r="O279" i="1"/>
  <c r="O271" i="1"/>
  <c r="O263" i="1"/>
  <c r="O255" i="1"/>
  <c r="O247" i="1"/>
  <c r="O239" i="1"/>
  <c r="O231" i="1"/>
  <c r="O223" i="1"/>
  <c r="O215" i="1"/>
  <c r="O207" i="1"/>
  <c r="O199" i="1"/>
  <c r="O191" i="1"/>
  <c r="O183" i="1"/>
  <c r="O175" i="1"/>
  <c r="O167" i="1"/>
  <c r="O159" i="1"/>
  <c r="O151" i="1"/>
  <c r="O143" i="1"/>
  <c r="O135" i="1"/>
  <c r="O127" i="1"/>
  <c r="O119" i="1"/>
  <c r="O111" i="1"/>
  <c r="O103" i="1"/>
  <c r="O95" i="1"/>
  <c r="O87" i="1"/>
  <c r="O79" i="1"/>
  <c r="O71" i="1"/>
  <c r="O63" i="1"/>
  <c r="O55" i="1"/>
  <c r="O47" i="1"/>
  <c r="O39" i="1"/>
  <c r="O31" i="1"/>
  <c r="O23" i="1"/>
  <c r="O208" i="1"/>
  <c r="O152" i="1"/>
  <c r="O120" i="1"/>
  <c r="O88" i="1"/>
  <c r="O64" i="1"/>
  <c r="O24" i="1"/>
  <c r="O999" i="1"/>
  <c r="O959" i="1"/>
  <c r="O927" i="1"/>
  <c r="O887" i="1"/>
  <c r="O831" i="1"/>
  <c r="O799" i="1"/>
  <c r="O759" i="1"/>
  <c r="O703" i="1"/>
  <c r="O663" i="1"/>
  <c r="O631" i="1"/>
  <c r="O599" i="1"/>
  <c r="O551" i="1"/>
  <c r="O216" i="1"/>
  <c r="O168" i="1"/>
  <c r="O112" i="1"/>
  <c r="O72" i="1"/>
  <c r="O32" i="1"/>
  <c r="O983" i="1"/>
  <c r="O943" i="1"/>
  <c r="O903" i="1"/>
  <c r="O855" i="1"/>
  <c r="O847" i="1"/>
  <c r="O807" i="1"/>
  <c r="O783" i="1"/>
  <c r="O751" i="1"/>
  <c r="O711" i="1"/>
  <c r="O671" i="1"/>
  <c r="O615" i="1"/>
  <c r="O535" i="1"/>
  <c r="O192" i="1"/>
  <c r="O184" i="1"/>
  <c r="O144" i="1"/>
  <c r="O104" i="1"/>
  <c r="O80" i="1"/>
  <c r="O40" i="1"/>
  <c r="O975" i="1"/>
  <c r="O919" i="1"/>
  <c r="O871" i="1"/>
  <c r="O823" i="1"/>
  <c r="O767" i="1"/>
  <c r="O735" i="1"/>
  <c r="O695" i="1"/>
  <c r="O639" i="1"/>
  <c r="O543" i="1"/>
  <c r="O176" i="1"/>
  <c r="O128" i="1"/>
  <c r="O56" i="1"/>
  <c r="O967" i="1"/>
  <c r="O935" i="1"/>
  <c r="O879" i="1"/>
  <c r="O839" i="1"/>
  <c r="O791" i="1"/>
  <c r="O727" i="1"/>
  <c r="O687" i="1"/>
  <c r="O647" i="1"/>
  <c r="O607" i="1"/>
  <c r="O527" i="1"/>
  <c r="O677" i="1"/>
  <c r="O669" i="1"/>
  <c r="O661" i="1"/>
  <c r="O653" i="1"/>
  <c r="O645" i="1"/>
  <c r="O637" i="1"/>
  <c r="O629" i="1"/>
  <c r="O621" i="1"/>
  <c r="O613" i="1"/>
  <c r="O605" i="1"/>
  <c r="O597" i="1"/>
  <c r="O589" i="1"/>
  <c r="O581" i="1"/>
  <c r="O573" i="1"/>
  <c r="O565" i="1"/>
  <c r="O557" i="1"/>
  <c r="O549" i="1"/>
  <c r="O541" i="1"/>
  <c r="O533" i="1"/>
  <c r="O525" i="1"/>
  <c r="O517" i="1"/>
  <c r="O509" i="1"/>
  <c r="O501" i="1"/>
  <c r="O493" i="1"/>
  <c r="O485" i="1"/>
  <c r="O477" i="1"/>
  <c r="O469" i="1"/>
  <c r="O461" i="1"/>
  <c r="O453" i="1"/>
  <c r="O445" i="1"/>
  <c r="O437" i="1"/>
  <c r="O429" i="1"/>
  <c r="O421" i="1"/>
  <c r="O413" i="1"/>
  <c r="O405" i="1"/>
  <c r="O397" i="1"/>
  <c r="O389" i="1"/>
  <c r="O381" i="1"/>
  <c r="O373" i="1"/>
  <c r="O365" i="1"/>
  <c r="O357" i="1"/>
  <c r="O349" i="1"/>
  <c r="O341" i="1"/>
  <c r="O333" i="1"/>
  <c r="O325" i="1"/>
  <c r="O317" i="1"/>
  <c r="O309" i="1"/>
  <c r="O301" i="1"/>
  <c r="O293" i="1"/>
  <c r="O285" i="1"/>
  <c r="O277" i="1"/>
  <c r="O269" i="1"/>
  <c r="O261" i="1"/>
  <c r="O253" i="1"/>
  <c r="O245" i="1"/>
  <c r="O237" i="1"/>
  <c r="O229" i="1"/>
  <c r="O221" i="1"/>
  <c r="O213" i="1"/>
  <c r="O205" i="1"/>
  <c r="O197" i="1"/>
  <c r="O189" i="1"/>
  <c r="O181" i="1"/>
  <c r="O173" i="1"/>
  <c r="O165" i="1"/>
  <c r="O157" i="1"/>
  <c r="O149" i="1"/>
  <c r="O141" i="1"/>
  <c r="O133" i="1"/>
  <c r="O125" i="1"/>
  <c r="O117" i="1"/>
  <c r="O109" i="1"/>
  <c r="O101" i="1"/>
  <c r="O93" i="1"/>
  <c r="O85" i="1"/>
  <c r="O77" i="1"/>
  <c r="O69" i="1"/>
  <c r="O61" i="1"/>
  <c r="O53" i="1"/>
  <c r="O45" i="1"/>
  <c r="O37" i="1"/>
  <c r="O29" i="1"/>
  <c r="O21" i="1"/>
  <c r="O13" i="1"/>
  <c r="O5" i="1"/>
  <c r="O946" i="1"/>
  <c r="O882" i="1"/>
  <c r="O810" i="1"/>
  <c r="O770" i="1"/>
  <c r="O730" i="1"/>
  <c r="O698" i="1"/>
  <c r="O634" i="1"/>
  <c r="O602" i="1"/>
  <c r="O554" i="1"/>
  <c r="O530" i="1"/>
  <c r="O522" i="1"/>
  <c r="O514" i="1"/>
  <c r="O490" i="1"/>
  <c r="O482" i="1"/>
  <c r="O474" i="1"/>
  <c r="O466" i="1"/>
  <c r="O458" i="1"/>
  <c r="O450" i="1"/>
  <c r="O442" i="1"/>
  <c r="O434" i="1"/>
  <c r="O426" i="1"/>
  <c r="O418" i="1"/>
  <c r="O410" i="1"/>
  <c r="O402" i="1"/>
  <c r="O394" i="1"/>
  <c r="O386" i="1"/>
  <c r="O378" i="1"/>
  <c r="O370" i="1"/>
  <c r="O362" i="1"/>
  <c r="O354" i="1"/>
  <c r="O346" i="1"/>
  <c r="O338" i="1"/>
  <c r="O330" i="1"/>
  <c r="O322" i="1"/>
  <c r="O314" i="1"/>
  <c r="O306" i="1"/>
  <c r="O298" i="1"/>
  <c r="O290" i="1"/>
  <c r="O282" i="1"/>
  <c r="O274" i="1"/>
  <c r="O266" i="1"/>
  <c r="O258" i="1"/>
  <c r="O250" i="1"/>
  <c r="O242" i="1"/>
  <c r="O234" i="1"/>
  <c r="O226" i="1"/>
  <c r="O218" i="1"/>
  <c r="O210" i="1"/>
  <c r="O202" i="1"/>
  <c r="O194" i="1"/>
  <c r="O186" i="1"/>
  <c r="O178" i="1"/>
  <c r="O170" i="1"/>
  <c r="O162" i="1"/>
  <c r="O154" i="1"/>
  <c r="O146" i="1"/>
  <c r="O138" i="1"/>
  <c r="O130" i="1"/>
  <c r="O122" i="1"/>
  <c r="O114" i="1"/>
  <c r="O106" i="1"/>
  <c r="O98" i="1"/>
  <c r="O90" i="1"/>
  <c r="O82" i="1"/>
  <c r="O74" i="1"/>
  <c r="O66" i="1"/>
  <c r="O58" i="1"/>
  <c r="O50" i="1"/>
  <c r="O42" i="1"/>
  <c r="O34" i="1"/>
  <c r="O10" i="1"/>
  <c r="O970" i="1"/>
  <c r="O922" i="1"/>
  <c r="O890" i="1"/>
  <c r="O850" i="1"/>
  <c r="O826" i="1"/>
  <c r="O802" i="1"/>
  <c r="O786" i="1"/>
  <c r="O762" i="1"/>
  <c r="O722" i="1"/>
  <c r="O706" i="1"/>
  <c r="O682" i="1"/>
  <c r="O642" i="1"/>
  <c r="O618" i="1"/>
  <c r="O594" i="1"/>
  <c r="O578" i="1"/>
  <c r="O562" i="1"/>
  <c r="O538" i="1"/>
  <c r="O498" i="1"/>
  <c r="O994" i="1"/>
  <c r="O954" i="1"/>
  <c r="O914" i="1"/>
  <c r="O874" i="1"/>
  <c r="O842" i="1"/>
  <c r="O818" i="1"/>
  <c r="O794" i="1"/>
  <c r="O754" i="1"/>
  <c r="O738" i="1"/>
  <c r="O714" i="1"/>
  <c r="O690" i="1"/>
  <c r="O650" i="1"/>
  <c r="O626" i="1"/>
  <c r="O610" i="1"/>
  <c r="O586" i="1"/>
  <c r="O570" i="1"/>
  <c r="O546" i="1"/>
  <c r="O506" i="1"/>
  <c r="O986" i="1"/>
  <c r="O962" i="1"/>
  <c r="O938" i="1"/>
  <c r="O906" i="1"/>
  <c r="O858" i="1"/>
  <c r="O778" i="1"/>
  <c r="O978" i="1"/>
  <c r="O930" i="1"/>
  <c r="O898" i="1"/>
  <c r="O866" i="1"/>
  <c r="O834" i="1"/>
  <c r="O746" i="1"/>
  <c r="O710" i="1"/>
  <c r="O7" i="1"/>
  <c r="O868" i="1"/>
  <c r="O674" i="1"/>
  <c r="O666" i="1"/>
  <c r="O658" i="1"/>
  <c r="O25" i="1"/>
  <c r="O15" i="1"/>
  <c r="O8" i="1"/>
  <c r="O18" i="1"/>
  <c r="O894" i="1"/>
  <c r="O6" i="1"/>
  <c r="O17" i="1"/>
  <c r="O26" i="1"/>
  <c r="O16" i="1"/>
  <c r="O476" i="1"/>
  <c r="O484" i="1"/>
  <c r="O468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<sst xmlns="http://schemas.openxmlformats.org/spreadsheetml/2006/main" count="5056" uniqueCount="1046">
  <si>
    <t>Order_ID</t>
  </si>
  <si>
    <t>Date</t>
  </si>
  <si>
    <t>Product_ID</t>
  </si>
  <si>
    <t>Region</t>
  </si>
  <si>
    <t>Quantity</t>
  </si>
  <si>
    <t>Gross_Price</t>
  </si>
  <si>
    <t>Discount_Pct</t>
  </si>
  <si>
    <t>Shipping_Cost</t>
  </si>
  <si>
    <t>Product_Name</t>
  </si>
  <si>
    <t>Category</t>
  </si>
  <si>
    <t>Unit_COGS</t>
  </si>
  <si>
    <t>Gross_Revenue</t>
  </si>
  <si>
    <t>Discount_Amount</t>
  </si>
  <si>
    <t>Total_COGS</t>
  </si>
  <si>
    <t>Net_Profit</t>
  </si>
  <si>
    <t>ORD-10000</t>
  </si>
  <si>
    <t>P001</t>
  </si>
  <si>
    <t>West</t>
  </si>
  <si>
    <t>Wireless Mouse</t>
  </si>
  <si>
    <t>Accessories</t>
  </si>
  <si>
    <t>ORD-10003</t>
  </si>
  <si>
    <t>ORD-10007</t>
  </si>
  <si>
    <t>East</t>
  </si>
  <si>
    <t>ORD-10013</t>
  </si>
  <si>
    <t>South</t>
  </si>
  <si>
    <t>ORD-10021</t>
  </si>
  <si>
    <t>ORD-10026</t>
  </si>
  <si>
    <t>ORD-10033</t>
  </si>
  <si>
    <t>ORD-10038</t>
  </si>
  <si>
    <t>ORD-10040</t>
  </si>
  <si>
    <t>ORD-10042</t>
  </si>
  <si>
    <t>ORD-10043</t>
  </si>
  <si>
    <t>ORD-10045</t>
  </si>
  <si>
    <t>ORD-10046</t>
  </si>
  <si>
    <t>North</t>
  </si>
  <si>
    <t>ORD-10049</t>
  </si>
  <si>
    <t>ORD-10054</t>
  </si>
  <si>
    <t>ORD-10063</t>
  </si>
  <si>
    <t>ORD-10071</t>
  </si>
  <si>
    <t>ORD-10081</t>
  </si>
  <si>
    <t>ORD-10083</t>
  </si>
  <si>
    <t>ORD-10084</t>
  </si>
  <si>
    <t>ORD-10086</t>
  </si>
  <si>
    <t>ORD-10100</t>
  </si>
  <si>
    <t>ORD-10104</t>
  </si>
  <si>
    <t>ORD-10106</t>
  </si>
  <si>
    <t>ORD-10119</t>
  </si>
  <si>
    <t>ORD-10123</t>
  </si>
  <si>
    <t>ORD-10124</t>
  </si>
  <si>
    <t>ORD-10129</t>
  </si>
  <si>
    <t>ORD-10138</t>
  </si>
  <si>
    <t>ORD-10139</t>
  </si>
  <si>
    <t>ORD-10145</t>
  </si>
  <si>
    <t>ORD-10147</t>
  </si>
  <si>
    <t>ORD-10152</t>
  </si>
  <si>
    <t>ORD-10154</t>
  </si>
  <si>
    <t>ORD-10165</t>
  </si>
  <si>
    <t>ORD-10186</t>
  </si>
  <si>
    <t>ORD-10191</t>
  </si>
  <si>
    <t>ORD-10196</t>
  </si>
  <si>
    <t>ORD-10202</t>
  </si>
  <si>
    <t>ORD-10208</t>
  </si>
  <si>
    <t>ORD-10211</t>
  </si>
  <si>
    <t>ORD-10212</t>
  </si>
  <si>
    <t>ORD-10221</t>
  </si>
  <si>
    <t>ORD-10223</t>
  </si>
  <si>
    <t>ORD-10225</t>
  </si>
  <si>
    <t>ORD-10226</t>
  </si>
  <si>
    <t>ORD-10228</t>
  </si>
  <si>
    <t>ORD-10232</t>
  </si>
  <si>
    <t>ORD-10245</t>
  </si>
  <si>
    <t>ORD-10249</t>
  </si>
  <si>
    <t>ORD-10250</t>
  </si>
  <si>
    <t>ORD-10255</t>
  </si>
  <si>
    <t>ORD-10259</t>
  </si>
  <si>
    <t>ORD-10276</t>
  </si>
  <si>
    <t>ORD-10288</t>
  </si>
  <si>
    <t>ORD-10297</t>
  </si>
  <si>
    <t>ORD-10304</t>
  </si>
  <si>
    <t>ORD-10305</t>
  </si>
  <si>
    <t>ORD-10309</t>
  </si>
  <si>
    <t>ORD-10310</t>
  </si>
  <si>
    <t>ORD-10317</t>
  </si>
  <si>
    <t>ORD-10341</t>
  </si>
  <si>
    <t>ORD-10345</t>
  </si>
  <si>
    <t>ORD-10362</t>
  </si>
  <si>
    <t>ORD-10366</t>
  </si>
  <si>
    <t>ORD-10367</t>
  </si>
  <si>
    <t>ORD-10371</t>
  </si>
  <si>
    <t>ORD-10373</t>
  </si>
  <si>
    <t>ORD-10386</t>
  </si>
  <si>
    <t>ORD-10387</t>
  </si>
  <si>
    <t>ORD-10389</t>
  </si>
  <si>
    <t>ORD-10391</t>
  </si>
  <si>
    <t>ORD-10395</t>
  </si>
  <si>
    <t>ORD-10400</t>
  </si>
  <si>
    <t>ORD-10410</t>
  </si>
  <si>
    <t>ORD-10416</t>
  </si>
  <si>
    <t>ORD-10420</t>
  </si>
  <si>
    <t>ORD-10425</t>
  </si>
  <si>
    <t>ORD-10430</t>
  </si>
  <si>
    <t>ORD-10433</t>
  </si>
  <si>
    <t>ORD-10434</t>
  </si>
  <si>
    <t>ORD-10439</t>
  </si>
  <si>
    <t>ORD-10440</t>
  </si>
  <si>
    <t>ORD-10441</t>
  </si>
  <si>
    <t>ORD-10455</t>
  </si>
  <si>
    <t>ORD-10458</t>
  </si>
  <si>
    <t>ORD-10459</t>
  </si>
  <si>
    <t>ORD-10460</t>
  </si>
  <si>
    <t>ORD-10462</t>
  </si>
  <si>
    <t>ORD-10464</t>
  </si>
  <si>
    <t>ORD-10465</t>
  </si>
  <si>
    <t>ORD-10473</t>
  </si>
  <si>
    <t>ORD-10476</t>
  </si>
  <si>
    <t>ORD-10481</t>
  </si>
  <si>
    <t>ORD-10485</t>
  </si>
  <si>
    <t>ORD-10490</t>
  </si>
  <si>
    <t>ORD-10497</t>
  </si>
  <si>
    <t>ORD-10499</t>
  </si>
  <si>
    <t>ORD-10506</t>
  </si>
  <si>
    <t>ORD-10510</t>
  </si>
  <si>
    <t>ORD-10511</t>
  </si>
  <si>
    <t>ORD-10512</t>
  </si>
  <si>
    <t>ORD-10516</t>
  </si>
  <si>
    <t>ORD-10524</t>
  </si>
  <si>
    <t>ORD-10527</t>
  </si>
  <si>
    <t>ORD-10536</t>
  </si>
  <si>
    <t>ORD-10538</t>
  </si>
  <si>
    <t>ORD-10545</t>
  </si>
  <si>
    <t>ORD-10546</t>
  </si>
  <si>
    <t>ORD-10548</t>
  </si>
  <si>
    <t>ORD-10553</t>
  </si>
  <si>
    <t>ORD-10561</t>
  </si>
  <si>
    <t>ORD-10564</t>
  </si>
  <si>
    <t>ORD-10570</t>
  </si>
  <si>
    <t>ORD-10583</t>
  </si>
  <si>
    <t>ORD-10604</t>
  </si>
  <si>
    <t>ORD-10617</t>
  </si>
  <si>
    <t>ORD-10625</t>
  </si>
  <si>
    <t>ORD-10634</t>
  </si>
  <si>
    <t>ORD-10647</t>
  </si>
  <si>
    <t>ORD-10650</t>
  </si>
  <si>
    <t>ORD-10652</t>
  </si>
  <si>
    <t>ORD-10656</t>
  </si>
  <si>
    <t>ORD-10657</t>
  </si>
  <si>
    <t>ORD-10658</t>
  </si>
  <si>
    <t>ORD-10664</t>
  </si>
  <si>
    <t>ORD-10671</t>
  </si>
  <si>
    <t>ORD-10677</t>
  </si>
  <si>
    <t>ORD-10679</t>
  </si>
  <si>
    <t>ORD-10681</t>
  </si>
  <si>
    <t>ORD-10688</t>
  </si>
  <si>
    <t>ORD-10689</t>
  </si>
  <si>
    <t>ORD-10699</t>
  </si>
  <si>
    <t>ORD-10702</t>
  </si>
  <si>
    <t>ORD-10711</t>
  </si>
  <si>
    <t>ORD-10716</t>
  </si>
  <si>
    <t>ORD-10719</t>
  </si>
  <si>
    <t>ORD-10721</t>
  </si>
  <si>
    <t>ORD-10722</t>
  </si>
  <si>
    <t>ORD-10730</t>
  </si>
  <si>
    <t>ORD-10731</t>
  </si>
  <si>
    <t>ORD-10736</t>
  </si>
  <si>
    <t>ORD-10742</t>
  </si>
  <si>
    <t>ORD-10751</t>
  </si>
  <si>
    <t>ORD-10759</t>
  </si>
  <si>
    <t>ORD-10762</t>
  </si>
  <si>
    <t>ORD-10778</t>
  </si>
  <si>
    <t>ORD-10780</t>
  </si>
  <si>
    <t>ORD-10781</t>
  </si>
  <si>
    <t>ORD-10786</t>
  </si>
  <si>
    <t>ORD-10791</t>
  </si>
  <si>
    <t>ORD-10796</t>
  </si>
  <si>
    <t>ORD-10799</t>
  </si>
  <si>
    <t>ORD-10803</t>
  </si>
  <si>
    <t>ORD-10804</t>
  </si>
  <si>
    <t>ORD-10806</t>
  </si>
  <si>
    <t>ORD-10814</t>
  </si>
  <si>
    <t>ORD-10816</t>
  </si>
  <si>
    <t>ORD-10817</t>
  </si>
  <si>
    <t>ORD-10819</t>
  </si>
  <si>
    <t>ORD-10820</t>
  </si>
  <si>
    <t>ORD-10821</t>
  </si>
  <si>
    <t>ORD-10822</t>
  </si>
  <si>
    <t>ORD-10826</t>
  </si>
  <si>
    <t>ORD-10827</t>
  </si>
  <si>
    <t>ORD-10828</t>
  </si>
  <si>
    <t>ORD-10829</t>
  </si>
  <si>
    <t>ORD-10834</t>
  </si>
  <si>
    <t>ORD-10839</t>
  </si>
  <si>
    <t>ORD-10841</t>
  </si>
  <si>
    <t>ORD-10843</t>
  </si>
  <si>
    <t>ORD-10850</t>
  </si>
  <si>
    <t>ORD-10857</t>
  </si>
  <si>
    <t>ORD-10858</t>
  </si>
  <si>
    <t>ORD-10862</t>
  </si>
  <si>
    <t>ORD-10867</t>
  </si>
  <si>
    <t>ORD-10870</t>
  </si>
  <si>
    <t>ORD-10874</t>
  </si>
  <si>
    <t>ORD-10875</t>
  </si>
  <si>
    <t>ORD-10876</t>
  </si>
  <si>
    <t>ORD-10878</t>
  </si>
  <si>
    <t>ORD-10883</t>
  </si>
  <si>
    <t>ORD-10888</t>
  </si>
  <si>
    <t>ORD-10894</t>
  </si>
  <si>
    <t>ORD-10898</t>
  </si>
  <si>
    <t>ORD-10905</t>
  </si>
  <si>
    <t>ORD-10910</t>
  </si>
  <si>
    <t>ORD-10914</t>
  </si>
  <si>
    <t>ORD-10917</t>
  </si>
  <si>
    <t>ORD-10921</t>
  </si>
  <si>
    <t>ORD-10922</t>
  </si>
  <si>
    <t>ORD-10930</t>
  </si>
  <si>
    <t>ORD-10931</t>
  </si>
  <si>
    <t>ORD-10961</t>
  </si>
  <si>
    <t>ORD-10964</t>
  </si>
  <si>
    <t>ORD-10968</t>
  </si>
  <si>
    <t>ORD-10969</t>
  </si>
  <si>
    <t>ORD-10970</t>
  </si>
  <si>
    <t>ORD-10974</t>
  </si>
  <si>
    <t>ORD-10976</t>
  </si>
  <si>
    <t>ORD-10979</t>
  </si>
  <si>
    <t>ORD-10983</t>
  </si>
  <si>
    <t>ORD-10988</t>
  </si>
  <si>
    <t>ORD-10997</t>
  </si>
  <si>
    <t>ORD-10998</t>
  </si>
  <si>
    <t>ORD-10999</t>
  </si>
  <si>
    <t>ORD-10001</t>
  </si>
  <si>
    <t>P002</t>
  </si>
  <si>
    <t>Mechanical Keyboard</t>
  </si>
  <si>
    <t>ORD-10008</t>
  </si>
  <si>
    <t>ORD-10017</t>
  </si>
  <si>
    <t>ORD-10020</t>
  </si>
  <si>
    <t>ORD-10023</t>
  </si>
  <si>
    <t>ORD-10032</t>
  </si>
  <si>
    <t>ORD-10041</t>
  </si>
  <si>
    <t>ORD-10044</t>
  </si>
  <si>
    <t>ORD-10047</t>
  </si>
  <si>
    <t>ORD-10057</t>
  </si>
  <si>
    <t>ORD-10058</t>
  </si>
  <si>
    <t>ORD-10070</t>
  </si>
  <si>
    <t>ORD-10072</t>
  </si>
  <si>
    <t>ORD-10077</t>
  </si>
  <si>
    <t>ORD-10080</t>
  </si>
  <si>
    <t>ORD-10085</t>
  </si>
  <si>
    <t>ORD-10091</t>
  </si>
  <si>
    <t>ORD-10095</t>
  </si>
  <si>
    <t>ORD-10096</t>
  </si>
  <si>
    <t>ORD-10101</t>
  </si>
  <si>
    <t>ORD-10102</t>
  </si>
  <si>
    <t>ORD-10116</t>
  </si>
  <si>
    <t>ORD-10121</t>
  </si>
  <si>
    <t>ORD-10126</t>
  </si>
  <si>
    <t>ORD-10136</t>
  </si>
  <si>
    <t>ORD-10148</t>
  </si>
  <si>
    <t>ORD-10149</t>
  </si>
  <si>
    <t>ORD-10162</t>
  </si>
  <si>
    <t>ORD-10167</t>
  </si>
  <si>
    <t>ORD-10168</t>
  </si>
  <si>
    <t>ORD-10169</t>
  </si>
  <si>
    <t>ORD-10171</t>
  </si>
  <si>
    <t>ORD-10181</t>
  </si>
  <si>
    <t>ORD-10187</t>
  </si>
  <si>
    <t>ORD-10189</t>
  </si>
  <si>
    <t>ORD-10195</t>
  </si>
  <si>
    <t>ORD-10198</t>
  </si>
  <si>
    <t>ORD-10205</t>
  </si>
  <si>
    <t>ORD-10214</t>
  </si>
  <si>
    <t>ORD-10222</t>
  </si>
  <si>
    <t>ORD-10230</t>
  </si>
  <si>
    <t>ORD-10233</t>
  </si>
  <si>
    <t>ORD-10240</t>
  </si>
  <si>
    <t>ORD-10244</t>
  </si>
  <si>
    <t>ORD-10253</t>
  </si>
  <si>
    <t>ORD-10257</t>
  </si>
  <si>
    <t>ORD-10261</t>
  </si>
  <si>
    <t>ORD-10263</t>
  </si>
  <si>
    <t>ORD-10265</t>
  </si>
  <si>
    <t>ORD-10270</t>
  </si>
  <si>
    <t>ORD-10274</t>
  </si>
  <si>
    <t>ORD-10283</t>
  </si>
  <si>
    <t>ORD-10284</t>
  </si>
  <si>
    <t>ORD-10285</t>
  </si>
  <si>
    <t>ORD-10287</t>
  </si>
  <si>
    <t>ORD-10291</t>
  </si>
  <si>
    <t>ORD-10295</t>
  </si>
  <si>
    <t>ORD-10296</t>
  </si>
  <si>
    <t>ORD-10307</t>
  </si>
  <si>
    <t>ORD-10308</t>
  </si>
  <si>
    <t>ORD-10311</t>
  </si>
  <si>
    <t>ORD-10323</t>
  </si>
  <si>
    <t>ORD-10324</t>
  </si>
  <si>
    <t>ORD-10325</t>
  </si>
  <si>
    <t>ORD-10327</t>
  </si>
  <si>
    <t>ORD-10329</t>
  </si>
  <si>
    <t>ORD-10330</t>
  </si>
  <si>
    <t>ORD-10334</t>
  </si>
  <si>
    <t>ORD-10340</t>
  </si>
  <si>
    <t>ORD-10343</t>
  </si>
  <si>
    <t>ORD-10348</t>
  </si>
  <si>
    <t>ORD-10350</t>
  </si>
  <si>
    <t>ORD-10354</t>
  </si>
  <si>
    <t>ORD-10355</t>
  </si>
  <si>
    <t>ORD-10356</t>
  </si>
  <si>
    <t>ORD-10357</t>
  </si>
  <si>
    <t>ORD-10365</t>
  </si>
  <si>
    <t>ORD-10369</t>
  </si>
  <si>
    <t>ORD-10370</t>
  </si>
  <si>
    <t>ORD-10377</t>
  </si>
  <si>
    <t>ORD-10381</t>
  </si>
  <si>
    <t>ORD-10388</t>
  </si>
  <si>
    <t>ORD-10394</t>
  </si>
  <si>
    <t>ORD-10397</t>
  </si>
  <si>
    <t>ORD-10398</t>
  </si>
  <si>
    <t>ORD-10402</t>
  </si>
  <si>
    <t>ORD-10403</t>
  </si>
  <si>
    <t>ORD-10405</t>
  </si>
  <si>
    <t>ORD-10412</t>
  </si>
  <si>
    <t>ORD-10418</t>
  </si>
  <si>
    <t>ORD-10419</t>
  </si>
  <si>
    <t>ORD-10426</t>
  </si>
  <si>
    <t>ORD-10428</t>
  </si>
  <si>
    <t>ORD-10429</t>
  </si>
  <si>
    <t>ORD-10432</t>
  </si>
  <si>
    <t>ORD-10435</t>
  </si>
  <si>
    <t>ORD-10446</t>
  </si>
  <si>
    <t>ORD-10447</t>
  </si>
  <si>
    <t>ORD-10449</t>
  </si>
  <si>
    <t>ORD-10452</t>
  </si>
  <si>
    <t>ORD-10456</t>
  </si>
  <si>
    <t>ORD-10457</t>
  </si>
  <si>
    <t>ORD-10463</t>
  </si>
  <si>
    <t>ORD-10469</t>
  </si>
  <si>
    <t>ORD-10474</t>
  </si>
  <si>
    <t>ORD-10483</t>
  </si>
  <si>
    <t>ORD-10502</t>
  </si>
  <si>
    <t>ORD-10504</t>
  </si>
  <si>
    <t>ORD-10515</t>
  </si>
  <si>
    <t>ORD-10519</t>
  </si>
  <si>
    <t>ORD-10521</t>
  </si>
  <si>
    <t>ORD-10541</t>
  </si>
  <si>
    <t>ORD-10550</t>
  </si>
  <si>
    <t>ORD-10551</t>
  </si>
  <si>
    <t>ORD-10562</t>
  </si>
  <si>
    <t>ORD-10565</t>
  </si>
  <si>
    <t>ORD-10572</t>
  </si>
  <si>
    <t>ORD-10574</t>
  </si>
  <si>
    <t>ORD-10575</t>
  </si>
  <si>
    <t>ORD-10579</t>
  </si>
  <si>
    <t>ORD-10581</t>
  </si>
  <si>
    <t>ORD-10589</t>
  </si>
  <si>
    <t>ORD-10593</t>
  </si>
  <si>
    <t>ORD-10595</t>
  </si>
  <si>
    <t>ORD-10605</t>
  </si>
  <si>
    <t>ORD-10610</t>
  </si>
  <si>
    <t>ORD-10614</t>
  </si>
  <si>
    <t>ORD-10619</t>
  </si>
  <si>
    <t>ORD-10620</t>
  </si>
  <si>
    <t>ORD-10627</t>
  </si>
  <si>
    <t>ORD-10629</t>
  </si>
  <si>
    <t>ORD-10630</t>
  </si>
  <si>
    <t>ORD-10635</t>
  </si>
  <si>
    <t>ORD-10636</t>
  </si>
  <si>
    <t>ORD-10638</t>
  </si>
  <si>
    <t>ORD-10651</t>
  </si>
  <si>
    <t>ORD-10662</t>
  </si>
  <si>
    <t>ORD-10672</t>
  </si>
  <si>
    <t>ORD-10680</t>
  </si>
  <si>
    <t>ORD-10686</t>
  </si>
  <si>
    <t>ORD-10696</t>
  </si>
  <si>
    <t>ORD-10698</t>
  </si>
  <si>
    <t>ORD-10704</t>
  </si>
  <si>
    <t>ORD-10707</t>
  </si>
  <si>
    <t>ORD-10710</t>
  </si>
  <si>
    <t>ORD-10712</t>
  </si>
  <si>
    <t>ORD-10715</t>
  </si>
  <si>
    <t>ORD-10720</t>
  </si>
  <si>
    <t>ORD-10727</t>
  </si>
  <si>
    <t>ORD-10729</t>
  </si>
  <si>
    <t>ORD-10734</t>
  </si>
  <si>
    <t>ORD-10735</t>
  </si>
  <si>
    <t>ORD-10738</t>
  </si>
  <si>
    <t>ORD-10741</t>
  </si>
  <si>
    <t>ORD-10745</t>
  </si>
  <si>
    <t>ORD-10747</t>
  </si>
  <si>
    <t>ORD-10750</t>
  </si>
  <si>
    <t>ORD-10752</t>
  </si>
  <si>
    <t>ORD-10756</t>
  </si>
  <si>
    <t>ORD-10758</t>
  </si>
  <si>
    <t>ORD-10760</t>
  </si>
  <si>
    <t>ORD-10763</t>
  </si>
  <si>
    <t>ORD-10765</t>
  </si>
  <si>
    <t>ORD-10766</t>
  </si>
  <si>
    <t>ORD-10767</t>
  </si>
  <si>
    <t>ORD-10771</t>
  </si>
  <si>
    <t>ORD-10774</t>
  </si>
  <si>
    <t>ORD-10777</t>
  </si>
  <si>
    <t>ORD-10785</t>
  </si>
  <si>
    <t>ORD-10787</t>
  </si>
  <si>
    <t>ORD-10793</t>
  </si>
  <si>
    <t>ORD-10801</t>
  </si>
  <si>
    <t>ORD-10808</t>
  </si>
  <si>
    <t>ORD-10823</t>
  </si>
  <si>
    <t>ORD-10830</t>
  </si>
  <si>
    <t>ORD-10835</t>
  </si>
  <si>
    <t>ORD-10837</t>
  </si>
  <si>
    <t>ORD-10842</t>
  </si>
  <si>
    <t>ORD-10849</t>
  </si>
  <si>
    <t>ORD-10854</t>
  </si>
  <si>
    <t>ORD-10856</t>
  </si>
  <si>
    <t>ORD-10863</t>
  </si>
  <si>
    <t>ORD-10864</t>
  </si>
  <si>
    <t>ORD-10868</t>
  </si>
  <si>
    <t>ORD-10871</t>
  </si>
  <si>
    <t>ORD-10880</t>
  </si>
  <si>
    <t>ORD-10897</t>
  </si>
  <si>
    <t>ORD-10899</t>
  </si>
  <si>
    <t>ORD-10900</t>
  </si>
  <si>
    <t>ORD-10901</t>
  </si>
  <si>
    <t>ORD-10902</t>
  </si>
  <si>
    <t>ORD-10903</t>
  </si>
  <si>
    <t>ORD-10904</t>
  </si>
  <si>
    <t>ORD-10908</t>
  </si>
  <si>
    <t>ORD-10909</t>
  </si>
  <si>
    <t>ORD-10912</t>
  </si>
  <si>
    <t>ORD-10916</t>
  </si>
  <si>
    <t>ORD-10928</t>
  </si>
  <si>
    <t>ORD-10929</t>
  </si>
  <si>
    <t>ORD-10935</t>
  </si>
  <si>
    <t>ORD-10937</t>
  </si>
  <si>
    <t>ORD-10938</t>
  </si>
  <si>
    <t>ORD-10940</t>
  </si>
  <si>
    <t>ORD-10948</t>
  </si>
  <si>
    <t>ORD-10949</t>
  </si>
  <si>
    <t>ORD-10953</t>
  </si>
  <si>
    <t>ORD-10956</t>
  </si>
  <si>
    <t>ORD-10965</t>
  </si>
  <si>
    <t>ORD-10967</t>
  </si>
  <si>
    <t>ORD-10975</t>
  </si>
  <si>
    <t>ORD-10994</t>
  </si>
  <si>
    <t>ORD-10996</t>
  </si>
  <si>
    <t>ORD-10002</t>
  </si>
  <si>
    <t>P003</t>
  </si>
  <si>
    <t>Gaming Monitor</t>
  </si>
  <si>
    <t>Electronics</t>
  </si>
  <si>
    <t>ORD-10004</t>
  </si>
  <si>
    <t>ORD-10011</t>
  </si>
  <si>
    <t>ORD-10030</t>
  </si>
  <si>
    <t>ORD-10031</t>
  </si>
  <si>
    <t>ORD-10034</t>
  </si>
  <si>
    <t>ORD-10051</t>
  </si>
  <si>
    <t>ORD-10059</t>
  </si>
  <si>
    <t>ORD-10064</t>
  </si>
  <si>
    <t>ORD-10066</t>
  </si>
  <si>
    <t>ORD-10067</t>
  </si>
  <si>
    <t>ORD-10076</t>
  </si>
  <si>
    <t>ORD-10079</t>
  </si>
  <si>
    <t>ORD-10082</t>
  </si>
  <si>
    <t>ORD-10090</t>
  </si>
  <si>
    <t>ORD-10097</t>
  </si>
  <si>
    <t>ORD-10098</t>
  </si>
  <si>
    <t>ORD-10099</t>
  </si>
  <si>
    <t>ORD-10105</t>
  </si>
  <si>
    <t>ORD-10111</t>
  </si>
  <si>
    <t>ORD-10112</t>
  </si>
  <si>
    <t>ORD-10115</t>
  </si>
  <si>
    <t>ORD-10118</t>
  </si>
  <si>
    <t>ORD-10127</t>
  </si>
  <si>
    <t>ORD-10131</t>
  </si>
  <si>
    <t>ORD-10133</t>
  </si>
  <si>
    <t>ORD-10137</t>
  </si>
  <si>
    <t>ORD-10143</t>
  </si>
  <si>
    <t>ORD-10144</t>
  </si>
  <si>
    <t>ORD-10153</t>
  </si>
  <si>
    <t>ORD-10156</t>
  </si>
  <si>
    <t>ORD-10163</t>
  </si>
  <si>
    <t>ORD-10164</t>
  </si>
  <si>
    <t>ORD-10166</t>
  </si>
  <si>
    <t>ORD-10172</t>
  </si>
  <si>
    <t>ORD-10174</t>
  </si>
  <si>
    <t>ORD-10175</t>
  </si>
  <si>
    <t>ORD-10184</t>
  </si>
  <si>
    <t>ORD-10188</t>
  </si>
  <si>
    <t>ORD-10192</t>
  </si>
  <si>
    <t>ORD-10203</t>
  </si>
  <si>
    <t>ORD-10207</t>
  </si>
  <si>
    <t>ORD-10215</t>
  </si>
  <si>
    <t>ORD-10224</t>
  </si>
  <si>
    <t>ORD-10227</t>
  </si>
  <si>
    <t>ORD-10229</t>
  </si>
  <si>
    <t>ORD-10234</t>
  </si>
  <si>
    <t>ORD-10236</t>
  </si>
  <si>
    <t>ORD-10237</t>
  </si>
  <si>
    <t>ORD-10242</t>
  </si>
  <si>
    <t>ORD-10246</t>
  </si>
  <si>
    <t>ORD-10258</t>
  </si>
  <si>
    <t>ORD-10268</t>
  </si>
  <si>
    <t>ORD-10271</t>
  </si>
  <si>
    <t>ORD-10273</t>
  </si>
  <si>
    <t>ORD-10277</t>
  </si>
  <si>
    <t>ORD-10278</t>
  </si>
  <si>
    <t>ORD-10279</t>
  </si>
  <si>
    <t>ORD-10280</t>
  </si>
  <si>
    <t>ORD-10281</t>
  </si>
  <si>
    <t>ORD-10286</t>
  </si>
  <si>
    <t>ORD-10290</t>
  </si>
  <si>
    <t>ORD-10292</t>
  </si>
  <si>
    <t>ORD-10298</t>
  </si>
  <si>
    <t>ORD-10302</t>
  </si>
  <si>
    <t>ORD-10318</t>
  </si>
  <si>
    <t>ORD-10319</t>
  </si>
  <si>
    <t>ORD-10322</t>
  </si>
  <si>
    <t>ORD-10336</t>
  </si>
  <si>
    <t>ORD-10351</t>
  </si>
  <si>
    <t>ORD-10358</t>
  </si>
  <si>
    <t>ORD-10359</t>
  </si>
  <si>
    <t>ORD-10360</t>
  </si>
  <si>
    <t>ORD-10375</t>
  </si>
  <si>
    <t>ORD-10380</t>
  </si>
  <si>
    <t>ORD-10392</t>
  </si>
  <si>
    <t>ORD-10406</t>
  </si>
  <si>
    <t>ORD-10407</t>
  </si>
  <si>
    <t>ORD-10408</t>
  </si>
  <si>
    <t>ORD-10409</t>
  </si>
  <si>
    <t>ORD-10423</t>
  </si>
  <si>
    <t>ORD-10424</t>
  </si>
  <si>
    <t>ORD-10427</t>
  </si>
  <si>
    <t>ORD-10436</t>
  </si>
  <si>
    <t>ORD-10438</t>
  </si>
  <si>
    <t>ORD-10442</t>
  </si>
  <si>
    <t>ORD-10453</t>
  </si>
  <si>
    <t>ORD-10454</t>
  </si>
  <si>
    <t>ORD-10472</t>
  </si>
  <si>
    <t>ORD-10480</t>
  </si>
  <si>
    <t>ORD-10492</t>
  </si>
  <si>
    <t>ORD-10498</t>
  </si>
  <si>
    <t>ORD-10503</t>
  </si>
  <si>
    <t>ORD-10505</t>
  </si>
  <si>
    <t>ORD-10513</t>
  </si>
  <si>
    <t>ORD-10517</t>
  </si>
  <si>
    <t>ORD-10518</t>
  </si>
  <si>
    <t>ORD-10529</t>
  </si>
  <si>
    <t>ORD-10530</t>
  </si>
  <si>
    <t>ORD-10531</t>
  </si>
  <si>
    <t>ORD-10533</t>
  </si>
  <si>
    <t>ORD-10534</t>
  </si>
  <si>
    <t>ORD-10539</t>
  </si>
  <si>
    <t>ORD-10543</t>
  </si>
  <si>
    <t>ORD-10547</t>
  </si>
  <si>
    <t>ORD-10555</t>
  </si>
  <si>
    <t>ORD-10556</t>
  </si>
  <si>
    <t>ORD-10559</t>
  </si>
  <si>
    <t>ORD-10560</t>
  </si>
  <si>
    <t>ORD-10563</t>
  </si>
  <si>
    <t>ORD-10590</t>
  </si>
  <si>
    <t>ORD-10594</t>
  </si>
  <si>
    <t>ORD-10602</t>
  </si>
  <si>
    <t>ORD-10618</t>
  </si>
  <si>
    <t>ORD-10623</t>
  </si>
  <si>
    <t>ORD-10626</t>
  </si>
  <si>
    <t>ORD-10628</t>
  </si>
  <si>
    <t>ORD-10637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</si>
  <si>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</si>
  <si>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</si>
  <si>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</si>
  <si>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</si>
  <si>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</si>
  <si>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</si>
  <si>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</si>
  <si>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ORD-10648</t>
  </si>
  <si>
    <t>ORD-10655</t>
  </si>
  <si>
    <t>ORD-10665</t>
  </si>
  <si>
    <t>ORD-10673</t>
  </si>
  <si>
    <t>ORD-10676</t>
  </si>
  <si>
    <t>ORD-10683</t>
  </si>
  <si>
    <t>ORD-10684</t>
  </si>
  <si>
    <t>ORD-10685</t>
  </si>
  <si>
    <t>ORD-10687</t>
  </si>
  <si>
    <t>ORD-10690</t>
  </si>
  <si>
    <t>ORD-10694</t>
  </si>
  <si>
    <t>ORD-10695</t>
  </si>
  <si>
    <t>ORD-10700</t>
  </si>
  <si>
    <t>ORD-10703</t>
  </si>
  <si>
    <t>ORD-10705</t>
  </si>
  <si>
    <t>ORD-10706</t>
  </si>
  <si>
    <t>ORD-10709</t>
  </si>
  <si>
    <t>ORD-10713</t>
  </si>
  <si>
    <t>ORD-10717</t>
  </si>
  <si>
    <t>ORD-10732</t>
  </si>
  <si>
    <t>ORD-10743</t>
  </si>
  <si>
    <t>ORD-10746</t>
  </si>
  <si>
    <t>ORD-10749</t>
  </si>
  <si>
    <t>ORD-10753</t>
  </si>
  <si>
    <t>ORD-10755</t>
  </si>
  <si>
    <t>ORD-10761</t>
  </si>
  <si>
    <t>ORD-10769</t>
  </si>
  <si>
    <t>ORD-10773</t>
  </si>
  <si>
    <t>ORD-10779</t>
  </si>
  <si>
    <t>ORD-10783</t>
  </si>
  <si>
    <t>ORD-10784</t>
  </si>
  <si>
    <t>ORD-10792</t>
  </si>
  <si>
    <t>ORD-10800</t>
  </si>
  <si>
    <t>ORD-10802</t>
  </si>
  <si>
    <t>ORD-10805</t>
  </si>
  <si>
    <t>ORD-10807</t>
  </si>
  <si>
    <t>ORD-10813</t>
  </si>
  <si>
    <t>ORD-10824</t>
  </si>
  <si>
    <t>ORD-10833</t>
  </si>
  <si>
    <t>ORD-10838</t>
  </si>
  <si>
    <t>ORD-10840</t>
  </si>
  <si>
    <t>ORD-10847</t>
  </si>
  <si>
    <t>ORD-10861</t>
  </si>
  <si>
    <t>ORD-10869</t>
  </si>
  <si>
    <t>ORD-10873</t>
  </si>
  <si>
    <t>ORD-10884</t>
  </si>
  <si>
    <t>ORD-10885</t>
  </si>
  <si>
    <t>ORD-10891</t>
  </si>
  <si>
    <t>ORD-10893</t>
  </si>
  <si>
    <t>ORD-10906</t>
  </si>
  <si>
    <t>ORD-10907</t>
  </si>
  <si>
    <t>ORD-10915</t>
  </si>
  <si>
    <t>ORD-10918</t>
  </si>
  <si>
    <t>ORD-10919</t>
  </si>
  <si>
    <t>ORD-10923</t>
  </si>
  <si>
    <t>ORD-10924</t>
  </si>
  <si>
    <t>ORD-10926</t>
  </si>
  <si>
    <t>ORD-10932</t>
  </si>
  <si>
    <t>ORD-10934</t>
  </si>
  <si>
    <t>ORD-10936</t>
  </si>
  <si>
    <t>ORD-10941</t>
  </si>
  <si>
    <t>ORD-10942</t>
  </si>
  <si>
    <t>ORD-10943</t>
  </si>
  <si>
    <t>ORD-10945</t>
  </si>
  <si>
    <t>ORD-10950</t>
  </si>
  <si>
    <t>ORD-10952</t>
  </si>
  <si>
    <t>ORD-10957</t>
  </si>
  <si>
    <t>ORD-10959</t>
  </si>
  <si>
    <t>ORD-10963</t>
  </si>
  <si>
    <t>ORD-10966</t>
  </si>
  <si>
    <t>ORD-10981</t>
  </si>
  <si>
    <t>ORD-10989</t>
  </si>
  <si>
    <t>ORD-10990</t>
  </si>
  <si>
    <t>ORD-10992</t>
  </si>
  <si>
    <t>ORD-10005</t>
  </si>
  <si>
    <t>P005</t>
  </si>
  <si>
    <t>Desk Lamp</t>
  </si>
  <si>
    <t>Furniture</t>
  </si>
  <si>
    <t>ORD-10006</t>
  </si>
  <si>
    <t>ORD-10010</t>
  </si>
  <si>
    <t>ORD-10016</t>
  </si>
  <si>
    <t>ORD-10019</t>
  </si>
  <si>
    <t>ORD-10025</t>
  </si>
  <si>
    <t>ORD-10029</t>
  </si>
  <si>
    <t>ORD-10035</t>
  </si>
  <si>
    <t>ORD-10037</t>
  </si>
  <si>
    <t>ORD-10039</t>
  </si>
  <si>
    <t>ORD-10052</t>
  </si>
  <si>
    <t>ORD-10053</t>
  </si>
  <si>
    <t>ORD-10055</t>
  </si>
  <si>
    <t>ORD-10060</t>
  </si>
  <si>
    <t>ORD-10061</t>
  </si>
  <si>
    <t>ORD-10065</t>
  </si>
  <si>
    <t>ORD-10073</t>
  </si>
  <si>
    <t>ORD-10074</t>
  </si>
  <si>
    <t>ORD-10087</t>
  </si>
  <si>
    <t>ORD-10092</t>
  </si>
  <si>
    <t>ORD-10093</t>
  </si>
  <si>
    <t>ORD-10094</t>
  </si>
  <si>
    <t>ORD-10103</t>
  </si>
  <si>
    <t>ORD-10109</t>
  </si>
  <si>
    <t>ORD-10110</t>
  </si>
  <si>
    <t>ORD-10113</t>
  </si>
  <si>
    <t>ORD-10117</t>
  </si>
  <si>
    <t>ORD-10120</t>
  </si>
  <si>
    <t>ORD-10141</t>
  </si>
  <si>
    <t>ORD-10146</t>
  </si>
  <si>
    <t>ORD-10150</t>
  </si>
  <si>
    <t>ORD-10151</t>
  </si>
  <si>
    <t>ORD-10155</t>
  </si>
  <si>
    <t>ORD-10157</t>
  </si>
  <si>
    <t>ORD-10159</t>
  </si>
  <si>
    <t>ORD-10176</t>
  </si>
  <si>
    <t>ORD-10177</t>
  </si>
  <si>
    <t>ORD-10178</t>
  </si>
  <si>
    <t>ORD-10182</t>
  </si>
  <si>
    <t>ORD-10190</t>
  </si>
  <si>
    <t>ORD-10193</t>
  </si>
  <si>
    <t>ORD-10194</t>
  </si>
  <si>
    <t>ORD-10197</t>
  </si>
  <si>
    <t>ORD-10199</t>
  </si>
  <si>
    <t>ORD-10200</t>
  </si>
  <si>
    <t>ORD-10201</t>
  </si>
  <si>
    <t>ORD-10213</t>
  </si>
  <si>
    <t>ORD-10216</t>
  </si>
  <si>
    <t>ORD-10217</t>
  </si>
  <si>
    <t>ORD-10219</t>
  </si>
  <si>
    <t>ORD-10220</t>
  </si>
  <si>
    <t>ORD-10235</t>
  </si>
  <si>
    <t>ORD-10238</t>
  </si>
  <si>
    <t>ORD-10239</t>
  </si>
  <si>
    <t>ORD-10241</t>
  </si>
  <si>
    <t>ORD-10247</t>
  </si>
  <si>
    <t>ORD-10252</t>
  </si>
  <si>
    <t>ORD-10254</t>
  </si>
  <si>
    <t>ORD-10262</t>
  </si>
  <si>
    <t>ORD-10269</t>
  </si>
  <si>
    <t>ORD-10272</t>
  </si>
  <si>
    <t>ORD-10282</t>
  </si>
  <si>
    <t>ORD-10289</t>
  </si>
  <si>
    <t>ORD-10300</t>
  </si>
  <si>
    <t>ORD-10301</t>
  </si>
  <si>
    <t>ORD-10306</t>
  </si>
  <si>
    <t>ORD-10314</t>
  </si>
  <si>
    <t>ORD-10316</t>
  </si>
  <si>
    <t>ORD-10331</t>
  </si>
  <si>
    <t>ORD-10332</t>
  </si>
  <si>
    <t>ORD-10333</t>
  </si>
  <si>
    <t>ORD-10335</t>
  </si>
  <si>
    <t>ORD-10337</t>
  </si>
  <si>
    <t>ORD-10339</t>
  </si>
  <si>
    <t>ORD-10342</t>
  </si>
  <si>
    <t>ORD-10344</t>
  </si>
  <si>
    <t>ORD-10347</t>
  </si>
  <si>
    <t>ORD-10353</t>
  </si>
  <si>
    <t>ORD-10372</t>
  </si>
  <si>
    <t>ORD-10376</t>
  </si>
  <si>
    <t>ORD-10378</t>
  </si>
  <si>
    <t>ORD-10379</t>
  </si>
  <si>
    <t>ORD-10384</t>
  </si>
  <si>
    <t>ORD-10399</t>
  </si>
  <si>
    <t>ORD-10401</t>
  </si>
  <si>
    <t>ORD-10413</t>
  </si>
  <si>
    <t>ORD-10414</t>
  </si>
  <si>
    <t>ORD-10415</t>
  </si>
  <si>
    <t>ORD-10431</t>
  </si>
  <si>
    <t>ORD-10451</t>
  </si>
  <si>
    <t>ORD-10466</t>
  </si>
  <si>
    <t>ORD-10470</t>
  </si>
  <si>
    <t>ORD-10475</t>
  </si>
  <si>
    <t>ORD-10478</t>
  </si>
  <si>
    <t>ORD-10479</t>
  </si>
  <si>
    <t>ORD-10482</t>
  </si>
  <si>
    <t>ORD-10486</t>
  </si>
  <si>
    <t>ORD-10488</t>
  </si>
  <si>
    <t>ORD-10489</t>
  </si>
  <si>
    <t>ORD-10496</t>
  </si>
  <si>
    <t>ORD-10500</t>
  </si>
  <si>
    <t>ORD-10501</t>
  </si>
  <si>
    <t>ORD-10507</t>
  </si>
  <si>
    <t>ORD-10509</t>
  </si>
  <si>
    <t>ORD-10514</t>
  </si>
  <si>
    <t>ORD-10520</t>
  </si>
  <si>
    <t>ORD-10522</t>
  </si>
  <si>
    <t>ORD-10525</t>
  </si>
  <si>
    <t>ORD-10528</t>
  </si>
  <si>
    <t>ORD-10542</t>
  </si>
  <si>
    <t>ORD-10549</t>
  </si>
  <si>
    <t>ORD-10552</t>
  </si>
  <si>
    <t>ORD-10566</t>
  </si>
  <si>
    <t>ORD-10576</t>
  </si>
  <si>
    <t>ORD-10577</t>
  </si>
  <si>
    <t>ORD-10580</t>
  </si>
  <si>
    <t>ORD-10587</t>
  </si>
  <si>
    <t>ORD-10588</t>
  </si>
  <si>
    <t>ORD-10591</t>
  </si>
  <si>
    <t>ORD-10596</t>
  </si>
  <si>
    <t>ORD-10599</t>
  </si>
  <si>
    <t>ORD-10601</t>
  </si>
  <si>
    <t>ORD-10609</t>
  </si>
  <si>
    <t>ORD-10613</t>
  </si>
  <si>
    <t>ORD-10615</t>
  </si>
  <si>
    <t>ORD-10616</t>
  </si>
  <si>
    <t>ORD-10622</t>
  </si>
  <si>
    <t>ORD-10632</t>
  </si>
  <si>
    <t>ORD-10633</t>
  </si>
  <si>
    <t>ORD-10646</t>
  </si>
  <si>
    <t>ORD-10653</t>
  </si>
  <si>
    <t>ORD-10659</t>
  </si>
  <si>
    <t>ORD-10661</t>
  </si>
  <si>
    <t>ORD-10666</t>
  </si>
  <si>
    <t>ORD-10674</t>
  </si>
  <si>
    <t>ORD-10675</t>
  </si>
  <si>
    <t>ORD-10682</t>
  </si>
  <si>
    <t>ORD-10692</t>
  </si>
  <si>
    <t>ORD-10697</t>
  </si>
  <si>
    <t>ORD-10701</t>
  </si>
  <si>
    <t>ORD-10724</t>
  </si>
  <si>
    <t>ORD-10725</t>
  </si>
  <si>
    <t>ORD-10728</t>
  </si>
  <si>
    <t>ORD-10739</t>
  </si>
  <si>
    <t>ORD-10744</t>
  </si>
  <si>
    <t>ORD-10748</t>
  </si>
  <si>
    <t>ORD-10754</t>
  </si>
  <si>
    <t>ORD-10757</t>
  </si>
  <si>
    <t>ORD-10764</t>
  </si>
  <si>
    <t>ORD-10768</t>
  </si>
  <si>
    <t>ORD-10770</t>
  </si>
  <si>
    <t>ORD-10775</t>
  </si>
  <si>
    <t>ORD-10776</t>
  </si>
  <si>
    <t>ORD-10789</t>
  </si>
  <si>
    <t>ORD-10794</t>
  </si>
  <si>
    <t>ORD-10798</t>
  </si>
  <si>
    <t>ORD-10809</t>
  </si>
  <si>
    <t>ORD-10810</t>
  </si>
  <si>
    <t>ORD-10811</t>
  </si>
  <si>
    <t>ORD-10812</t>
  </si>
  <si>
    <t>ORD-10815</t>
  </si>
  <si>
    <t>ORD-10818</t>
  </si>
  <si>
    <t>ORD-10831</t>
  </si>
  <si>
    <t>ORD-10851</t>
  </si>
  <si>
    <t>ORD-10852</t>
  </si>
  <si>
    <t>ORD-10855</t>
  </si>
  <si>
    <t>ORD-10860</t>
  </si>
  <si>
    <t>ORD-10865</t>
  </si>
  <si>
    <t>ORD-10866</t>
  </si>
  <si>
    <t>ORD-10872</t>
  </si>
  <si>
    <t>ORD-10877</t>
  </si>
  <si>
    <t>ORD-10879</t>
  </si>
  <si>
    <t>ORD-10892</t>
  </si>
  <si>
    <t>ORD-10895</t>
  </si>
  <si>
    <t>ORD-10896</t>
  </si>
  <si>
    <t>ORD-10911</t>
  </si>
  <si>
    <t>ORD-10920</t>
  </si>
  <si>
    <t>ORD-10933</t>
  </si>
  <si>
    <t>ORD-10939</t>
  </si>
  <si>
    <t>ORD-10944</t>
  </si>
  <si>
    <t>ORD-10947</t>
  </si>
  <si>
    <t>ORD-10951</t>
  </si>
  <si>
    <t>ORD-10954</t>
  </si>
  <si>
    <t>ORD-10958</t>
  </si>
  <si>
    <t>ORD-10982</t>
  </si>
  <si>
    <t>ORD-10986</t>
  </si>
  <si>
    <t>ORD-10993</t>
  </si>
  <si>
    <t>ORD-10009</t>
  </si>
  <si>
    <t>P004</t>
  </si>
  <si>
    <t>USB-C Hub</t>
  </si>
  <si>
    <t>ORD-10012</t>
  </si>
  <si>
    <t>ORD-10014</t>
  </si>
  <si>
    <t>ORD-10015</t>
  </si>
  <si>
    <t>ORD-10018</t>
  </si>
  <si>
    <t>ORD-10022</t>
  </si>
  <si>
    <t>ORD-10024</t>
  </si>
  <si>
    <t>ORD-10027</t>
  </si>
  <si>
    <t>ORD-10028</t>
  </si>
  <si>
    <t>ORD-10036</t>
  </si>
  <si>
    <t>ORD-10048</t>
  </si>
  <si>
    <t>ORD-10050</t>
  </si>
  <si>
    <t>ORD-10056</t>
  </si>
  <si>
    <t>ORD-10062</t>
  </si>
  <si>
    <t>ORD-10068</t>
  </si>
  <si>
    <t>ORD-10069</t>
  </si>
  <si>
    <t>ORD-10075</t>
  </si>
  <si>
    <t>ORD-10078</t>
  </si>
  <si>
    <t>ORD-10088</t>
  </si>
  <si>
    <t>ORD-10089</t>
  </si>
  <si>
    <t>ORD-10107</t>
  </si>
  <si>
    <t>ORD-10108</t>
  </si>
  <si>
    <t>ORD-10114</t>
  </si>
  <si>
    <t>ORD-10122</t>
  </si>
  <si>
    <t>ORD-10125</t>
  </si>
  <si>
    <t>ORD-10128</t>
  </si>
  <si>
    <t>ORD-10130</t>
  </si>
  <si>
    <t>ORD-10132</t>
  </si>
  <si>
    <t>ORD-10134</t>
  </si>
  <si>
    <t>ORD-10135</t>
  </si>
  <si>
    <t>ORD-10140</t>
  </si>
  <si>
    <t>ORD-10142</t>
  </si>
  <si>
    <t>ORD-10158</t>
  </si>
  <si>
    <t>ORD-10160</t>
  </si>
  <si>
    <t>ORD-10161</t>
  </si>
  <si>
    <t>ORD-10170</t>
  </si>
  <si>
    <t>ORD-10173</t>
  </si>
  <si>
    <t>ORD-10179</t>
  </si>
  <si>
    <t>ORD-10180</t>
  </si>
  <si>
    <t>ORD-10183</t>
  </si>
  <si>
    <t>ORD-10185</t>
  </si>
  <si>
    <t>ORD-10204</t>
  </si>
  <si>
    <t>ORD-10206</t>
  </si>
  <si>
    <t>ORD-10209</t>
  </si>
  <si>
    <t>ORD-10210</t>
  </si>
  <si>
    <t>ORD-10218</t>
  </si>
  <si>
    <t>ORD-10231</t>
  </si>
  <si>
    <t>ORD-10243</t>
  </si>
  <si>
    <t>ORD-10248</t>
  </si>
  <si>
    <t>ORD-10251</t>
  </si>
  <si>
    <t>ORD-10256</t>
  </si>
  <si>
    <t>ORD-10260</t>
  </si>
  <si>
    <t>ORD-10264</t>
  </si>
  <si>
    <t>ORD-10266</t>
  </si>
  <si>
    <t>ORD-10267</t>
  </si>
  <si>
    <t>ORD-10275</t>
  </si>
  <si>
    <t>ORD-10293</t>
  </si>
  <si>
    <t>ORD-10294</t>
  </si>
  <si>
    <t>ORD-10299</t>
  </si>
  <si>
    <t>ORD-10303</t>
  </si>
  <si>
    <t>ORD-10312</t>
  </si>
  <si>
    <t>ORD-10313</t>
  </si>
  <si>
    <t>ORD-10315</t>
  </si>
  <si>
    <t>ORD-10320</t>
  </si>
  <si>
    <t>ORD-10321</t>
  </si>
  <si>
    <t>ORD-10326</t>
  </si>
  <si>
    <t>ORD-10328</t>
  </si>
  <si>
    <t>ORD-10338</t>
  </si>
  <si>
    <t>ORD-10346</t>
  </si>
  <si>
    <t>ORD-10349</t>
  </si>
  <si>
    <t>ORD-10352</t>
  </si>
  <si>
    <t>ORD-10361</t>
  </si>
  <si>
    <t>ORD-10363</t>
  </si>
  <si>
    <t>ORD-10364</t>
  </si>
  <si>
    <t>ORD-10368</t>
  </si>
  <si>
    <t>ORD-10374</t>
  </si>
  <si>
    <t>ORD-10382</t>
  </si>
  <si>
    <t>ORD-10383</t>
  </si>
  <si>
    <t>ORD-10385</t>
  </si>
  <si>
    <t>ORD-10390</t>
  </si>
  <si>
    <t>ORD-10393</t>
  </si>
  <si>
    <t>ORD-10396</t>
  </si>
  <si>
    <t>ORD-10404</t>
  </si>
  <si>
    <t>ORD-10411</t>
  </si>
  <si>
    <t>ORD-10417</t>
  </si>
  <si>
    <t>ORD-10421</t>
  </si>
  <si>
    <t>ORD-10422</t>
  </si>
  <si>
    <t>ORD-10437</t>
  </si>
  <si>
    <t>ORD-10443</t>
  </si>
  <si>
    <t>ORD-10444</t>
  </si>
  <si>
    <t>ORD-10445</t>
  </si>
  <si>
    <t>ORD-10448</t>
  </si>
  <si>
    <t>ORD-10450</t>
  </si>
  <si>
    <t>ORD-10461</t>
  </si>
  <si>
    <t>ORD-10467</t>
  </si>
  <si>
    <t>ORD-10468</t>
  </si>
  <si>
    <t>ORD-10471</t>
  </si>
  <si>
    <t>ORD-10477</t>
  </si>
  <si>
    <t>ORD-10484</t>
  </si>
  <si>
    <t>ORD-10487</t>
  </si>
  <si>
    <t>ORD-10491</t>
  </si>
  <si>
    <t>ORD-10493</t>
  </si>
  <si>
    <t>ORD-10494</t>
  </si>
  <si>
    <t>ORD-10495</t>
  </si>
  <si>
    <t>ORD-10508</t>
  </si>
  <si>
    <t>ORD-10523</t>
  </si>
  <si>
    <t>ORD-10526</t>
  </si>
  <si>
    <t>ORD-10532</t>
  </si>
  <si>
    <t>ORD-10535</t>
  </si>
  <si>
    <t>ORD-10537</t>
  </si>
  <si>
    <t>ORD-10540</t>
  </si>
  <si>
    <t>ORD-10544</t>
  </si>
  <si>
    <t>ORD-10554</t>
  </si>
  <si>
    <t>ORD-10557</t>
  </si>
  <si>
    <t>ORD-10558</t>
  </si>
  <si>
    <t>ORD-10567</t>
  </si>
  <si>
    <t>ORD-10568</t>
  </si>
  <si>
    <t>ORD-10569</t>
  </si>
  <si>
    <t>ORD-10571</t>
  </si>
  <si>
    <t>ORD-10573</t>
  </si>
  <si>
    <t>ORD-10578</t>
  </si>
  <si>
    <t>ORD-10582</t>
  </si>
  <si>
    <t>ORD-10584</t>
  </si>
  <si>
    <t>ORD-10585</t>
  </si>
  <si>
    <t>ORD-10586</t>
  </si>
  <si>
    <t>ORD-10592</t>
  </si>
  <si>
    <t>ORD-10597</t>
  </si>
  <si>
    <t>ORD-10598</t>
  </si>
  <si>
    <t>ORD-10600</t>
  </si>
  <si>
    <t>ORD-10603</t>
  </si>
  <si>
    <t>ORD-10606</t>
  </si>
  <si>
    <t>ORD-10607</t>
  </si>
  <si>
    <t>ORD-10608</t>
  </si>
  <si>
    <t>ORD-10611</t>
  </si>
  <si>
    <t>ORD-10612</t>
  </si>
  <si>
    <t>ORD-10621</t>
  </si>
  <si>
    <t>ORD-10624</t>
  </si>
  <si>
    <t>ORD-10631</t>
  </si>
  <si>
    <t>ORD-10649</t>
  </si>
  <si>
    <t>ORD-10654</t>
  </si>
  <si>
    <t>ORD-10660</t>
  </si>
  <si>
    <t>ORD-10663</t>
  </si>
  <si>
    <t>ORD-10667</t>
  </si>
  <si>
    <t>ORD-10668</t>
  </si>
  <si>
    <t>ORD-10669</t>
  </si>
  <si>
    <t>ORD-10670</t>
  </si>
  <si>
    <t>ORD-10678</t>
  </si>
  <si>
    <t>ORD-10691</t>
  </si>
  <si>
    <t>ORD-10693</t>
  </si>
  <si>
    <t>ORD-10708</t>
  </si>
  <si>
    <t>ORD-10714</t>
  </si>
  <si>
    <t>ORD-10718</t>
  </si>
  <si>
    <t>ORD-10723</t>
  </si>
  <si>
    <t>ORD-10726</t>
  </si>
  <si>
    <t>ORD-10733</t>
  </si>
  <si>
    <t>ORD-10737</t>
  </si>
  <si>
    <t>ORD-10740</t>
  </si>
  <si>
    <t>ORD-10772</t>
  </si>
  <si>
    <t>ORD-10782</t>
  </si>
  <si>
    <t>ORD-10788</t>
  </si>
  <si>
    <t>ORD-10790</t>
  </si>
  <si>
    <t>ORD-10795</t>
  </si>
  <si>
    <t>ORD-10797</t>
  </si>
  <si>
    <t>ORD-10825</t>
  </si>
  <si>
    <t>ORD-10832</t>
  </si>
  <si>
    <t>ORD-10836</t>
  </si>
  <si>
    <t>ORD-10844</t>
  </si>
  <si>
    <t>ORD-10845</t>
  </si>
  <si>
    <t>ORD-10846</t>
  </si>
  <si>
    <t>ORD-10848</t>
  </si>
  <si>
    <t>ORD-10853</t>
  </si>
  <si>
    <t>ORD-10859</t>
  </si>
  <si>
    <t>ORD-10881</t>
  </si>
  <si>
    <t>ORD-10882</t>
  </si>
  <si>
    <t>ORD-10886</t>
  </si>
  <si>
    <t>ORD-10887</t>
  </si>
  <si>
    <t>ORD-10889</t>
  </si>
  <si>
    <t>ORD-10890</t>
  </si>
  <si>
    <t>ORD-10913</t>
  </si>
  <si>
    <t>ORD-10925</t>
  </si>
  <si>
    <t>ORD-10927</t>
  </si>
  <si>
    <t>ORD-10946</t>
  </si>
  <si>
    <t>ORD-10955</t>
  </si>
  <si>
    <t>ORD-10960</t>
  </si>
  <si>
    <t>ORD-10962</t>
  </si>
  <si>
    <t>ORD-10971</t>
  </si>
  <si>
    <t>ORD-10972</t>
  </si>
  <si>
    <t>ORD-10973</t>
  </si>
  <si>
    <t>ORD-10977</t>
  </si>
  <si>
    <t>ORD-10978</t>
  </si>
  <si>
    <t>ORD-10980</t>
  </si>
  <si>
    <t>ORD-10984</t>
  </si>
  <si>
    <t>ORD-10985</t>
  </si>
  <si>
    <t>ORD-10987</t>
  </si>
  <si>
    <t>ORD-10991</t>
  </si>
  <si>
    <t>ORD-10995</t>
  </si>
  <si>
    <t>Row Labels</t>
  </si>
  <si>
    <t>Grand Total</t>
  </si>
  <si>
    <t>Sum of Net_Profit</t>
  </si>
  <si>
    <t>Sum of Gross_Revenue</t>
  </si>
  <si>
    <t>Count of Order_ID</t>
  </si>
  <si>
    <t>Sum of Discount_Amount</t>
  </si>
  <si>
    <t>Sum of Quantity</t>
  </si>
  <si>
    <t>Sum of Shipping_Cost</t>
  </si>
  <si>
    <t>Total Profit</t>
  </si>
  <si>
    <t>Total Revenue</t>
  </si>
  <si>
    <t>Avg. Discount</t>
  </si>
  <si>
    <t>Total Orders</t>
  </si>
  <si>
    <t>Shipping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</si>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</sst>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pivotButton="1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77"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alignment wrapText="1"/>
    </dxf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alignment wrapText="1"/>
    </dxf>
    <dxf>
      <alignment wrapText="1"/>
    </dxf>
    <dxf>
      <alignment wrapText="1"/>
    </dxf>
    <dxf>
      <numFmt numFmtId="0" formatCode="General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olta" refreshedDate="46253.546227199076" createdVersion="8" refreshedVersion="8" minRefreshableVersion="3" recordCount="1000" xr:uid="{F845C066-C685-4896-89FE-28F5D592E07D}">
  <cacheSource type="worksheet">
    <worksheetSource ref="A1:O1001" sheet="Transactions"/>
  </cacheSource>
  <cacheFields count="15">
    <cacheField name="Order_ID" numFmtId="0">
      <sharedItems count="1000">
        <s v="ORD-10000"/>
        <s v="ORD-10003"/>
        <s v="ORD-10007"/>
        <s v="ORD-10013"/>
        <s v="ORD-10021"/>
        <s v="ORD-10026"/>
        <s v="ORD-10033"/>
        <s v="ORD-10038"/>
        <s v="ORD-10040"/>
        <s v="ORD-10042"/>
        <s v="ORD-10043"/>
        <s v="ORD-10045"/>
        <s v="ORD-10046"/>
        <s v="ORD-10049"/>
        <s v="ORD-10054"/>
        <s v="ORD-10063"/>
        <s v="ORD-10071"/>
        <s v="ORD-10081"/>
        <s v="ORD-10083"/>
        <s v="ORD-10084"/>
        <s v="ORD-10086"/>
        <s v="ORD-10100"/>
        <s v="ORD-10104"/>
        <s v="ORD-10106"/>
        <s v="ORD-10119"/>
        <s v="ORD-10123"/>
        <s v="ORD-10124"/>
        <s v="ORD-10129"/>
        <s v="ORD-10138"/>
        <s v="ORD-10139"/>
        <s v="ORD-10145"/>
        <s v="ORD-10147"/>
        <s v="ORD-10152"/>
        <s v="ORD-10154"/>
        <s v="ORD-10165"/>
        <s v="ORD-10186"/>
        <s v="ORD-10191"/>
        <s v="ORD-10196"/>
        <s v="ORD-10202"/>
        <s v="ORD-10208"/>
        <s v="ORD-10211"/>
        <s v="ORD-10212"/>
        <s v="ORD-10221"/>
        <s v="ORD-10223"/>
        <s v="ORD-10225"/>
        <s v="ORD-10226"/>
        <s v="ORD-10228"/>
        <s v="ORD-10232"/>
        <s v="ORD-10245"/>
        <s v="ORD-10249"/>
        <s v="ORD-10250"/>
        <s v="ORD-10255"/>
        <s v="ORD-10259"/>
        <s v="ORD-10276"/>
        <s v="ORD-10288"/>
        <s v="ORD-10297"/>
        <s v="ORD-10304"/>
        <s v="ORD-10305"/>
        <s v="ORD-10309"/>
        <s v="ORD-10310"/>
        <s v="ORD-10317"/>
        <s v="ORD-10341"/>
        <s v="ORD-10345"/>
        <s v="ORD-10362"/>
        <s v="ORD-10366"/>
        <s v="ORD-10367"/>
        <s v="ORD-10371"/>
        <s v="ORD-10373"/>
        <s v="ORD-10386"/>
        <s v="ORD-10387"/>
        <s v="ORD-10389"/>
        <s v="ORD-10391"/>
        <s v="ORD-10395"/>
        <s v="ORD-10400"/>
        <s v="ORD-10410"/>
        <s v="ORD-10416"/>
        <s v="ORD-10420"/>
        <s v="ORD-10425"/>
        <s v="ORD-10430"/>
        <s v="ORD-10433"/>
        <s v="ORD-10434"/>
        <s v="ORD-10439"/>
        <s v="ORD-10440"/>
        <s v="ORD-10441"/>
        <s v="ORD-10455"/>
        <s v="ORD-10458"/>
        <s v="ORD-10459"/>
        <s v="ORD-10460"/>
        <s v="ORD-10462"/>
        <s v="ORD-10464"/>
        <s v="ORD-10465"/>
        <s v="ORD-10473"/>
        <s v="ORD-10476"/>
        <s v="ORD-10481"/>
        <s v="ORD-10485"/>
        <s v="ORD-10490"/>
        <s v="ORD-10497"/>
        <s v="ORD-10499"/>
        <s v="ORD-10506"/>
        <s v="ORD-10510"/>
        <s v="ORD-10511"/>
        <s v="ORD-10512"/>
        <s v="ORD-10516"/>
        <s v="ORD-10524"/>
        <s v="ORD-10527"/>
        <s v="ORD-10536"/>
        <s v="ORD-10538"/>
        <s v="ORD-10545"/>
        <s v="ORD-10546"/>
        <s v="ORD-10548"/>
        <s v="ORD-10553"/>
        <s v="ORD-10561"/>
        <s v="ORD-10564"/>
        <s v="ORD-10570"/>
        <s v="ORD-10583"/>
        <s v="ORD-10604"/>
        <s v="ORD-10617"/>
        <s v="ORD-10625"/>
        <s v="ORD-10634"/>
        <s v="ORD-10647"/>
        <s v="ORD-10650"/>
        <s v="ORD-10652"/>
        <s v="ORD-10656"/>
        <s v="ORD-10657"/>
        <s v="ORD-10658"/>
        <s v="ORD-10664"/>
        <s v="ORD-10671"/>
        <s v="ORD-10677"/>
        <s v="ORD-10679"/>
        <s v="ORD-10681"/>
        <s v="ORD-10688"/>
        <s v="ORD-10689"/>
        <s v="ORD-10699"/>
        <s v="ORD-10702"/>
        <s v="ORD-10711"/>
        <s v="ORD-10716"/>
        <s v="ORD-10719"/>
        <s v="ORD-10721"/>
        <s v="ORD-10722"/>
        <s v="ORD-10730"/>
        <s v="ORD-10731"/>
        <s v="ORD-10736"/>
        <s v="ORD-10742"/>
        <s v="ORD-10751"/>
        <s v="ORD-10759"/>
        <s v="ORD-10762"/>
        <s v="ORD-10778"/>
        <s v="ORD-10780"/>
        <s v="ORD-10781"/>
        <s v="ORD-10786"/>
        <s v="ORD-10791"/>
        <s v="ORD-10796"/>
        <s v="ORD-10799"/>
        <s v="ORD-10803"/>
        <s v="ORD-10804"/>
        <s v="ORD-10806"/>
        <s v="ORD-10814"/>
        <s v="ORD-10816"/>
        <s v="ORD-10817"/>
        <s v="ORD-10819"/>
        <s v="ORD-10820"/>
        <s v="ORD-10821"/>
        <s v="ORD-10822"/>
        <s v="ORD-10826"/>
        <s v="ORD-10827"/>
        <s v="ORD-10828"/>
        <s v="ORD-10829"/>
        <s v="ORD-10834"/>
        <s v="ORD-10839"/>
        <s v="ORD-10841"/>
        <s v="ORD-10843"/>
        <s v="ORD-10850"/>
        <s v="ORD-10857"/>
        <s v="ORD-10858"/>
        <s v="ORD-10862"/>
        <s v="ORD-10867"/>
        <s v="ORD-10870"/>
        <s v="ORD-10874"/>
        <s v="ORD-10875"/>
        <s v="ORD-10876"/>
        <s v="ORD-10878"/>
        <s v="ORD-10883"/>
        <s v="ORD-10888"/>
        <s v="ORD-10894"/>
        <s v="ORD-10898"/>
        <s v="ORD-10905"/>
        <s v="ORD-10910"/>
        <s v="ORD-10914"/>
        <s v="ORD-10917"/>
        <s v="ORD-10921"/>
        <s v="ORD-10922"/>
        <s v="ORD-10930"/>
        <s v="ORD-10931"/>
        <s v="ORD-10961"/>
        <s v="ORD-10964"/>
        <s v="ORD-10968"/>
        <s v="ORD-10969"/>
        <s v="ORD-10970"/>
        <s v="ORD-10974"/>
        <s v="ORD-10976"/>
        <s v="ORD-10979"/>
        <s v="ORD-10983"/>
        <s v="ORD-10988"/>
        <s v="ORD-10997"/>
        <s v="ORD-10998"/>
        <s v="ORD-10999"/>
        <s v="ORD-10001"/>
        <s v="ORD-10008"/>
        <s v="ORD-10017"/>
        <s v="ORD-10020"/>
        <s v="ORD-10023"/>
        <s v="ORD-10032"/>
        <s v="ORD-10041"/>
        <s v="ORD-10044"/>
        <s v="ORD-10047"/>
        <s v="ORD-10057"/>
        <s v="ORD-10058"/>
        <s v="ORD-10070"/>
        <s v="ORD-10072"/>
        <s v="ORD-10077"/>
        <s v="ORD-10080"/>
        <s v="ORD-10085"/>
        <s v="ORD-10091"/>
        <s v="ORD-10095"/>
        <s v="ORD-10096"/>
        <s v="ORD-10101"/>
        <s v="ORD-10102"/>
        <s v="ORD-10116"/>
        <s v="ORD-10121"/>
        <s v="ORD-10126"/>
        <s v="ORD-10136"/>
        <s v="ORD-10148"/>
        <s v="ORD-10149"/>
        <s v="ORD-10162"/>
        <s v="ORD-10167"/>
        <s v="ORD-10168"/>
        <s v="ORD-10169"/>
        <s v="ORD-10171"/>
        <s v="ORD-10181"/>
        <s v="ORD-10187"/>
        <s v="ORD-10189"/>
        <s v="ORD-10195"/>
        <s v="ORD-10198"/>
        <s v="ORD-10205"/>
        <s v="ORD-10214"/>
        <s v="ORD-10222"/>
        <s v="ORD-10230"/>
        <s v="ORD-10233"/>
        <s v="ORD-10240"/>
        <s v="ORD-10244"/>
        <s v="ORD-10253"/>
        <s v="ORD-10257"/>
        <s v="ORD-10261"/>
        <s v="ORD-10263"/>
        <s v="ORD-10265"/>
        <s v="ORD-10270"/>
        <s v="ORD-10274"/>
        <s v="ORD-10283"/>
        <s v="ORD-10284"/>
        <s v="ORD-10285"/>
        <s v="ORD-10287"/>
        <s v="ORD-10291"/>
        <s v="ORD-10295"/>
        <s v="ORD-10296"/>
        <s v="ORD-10307"/>
        <s v="ORD-10308"/>
        <s v="ORD-10311"/>
        <s v="ORD-10323"/>
        <s v="ORD-10324"/>
        <s v="ORD-10325"/>
        <s v="ORD-10327"/>
        <s v="ORD-10329"/>
        <s v="ORD-10330"/>
        <s v="ORD-10334"/>
        <s v="ORD-10340"/>
        <s v="ORD-10343"/>
        <s v="ORD-10348"/>
        <s v="ORD-10350"/>
        <s v="ORD-10354"/>
        <s v="ORD-10355"/>
        <s v="ORD-10356"/>
        <s v="ORD-10357"/>
        <s v="ORD-10365"/>
        <s v="ORD-10369"/>
        <s v="ORD-10370"/>
        <s v="ORD-10377"/>
        <s v="ORD-10381"/>
        <s v="ORD-10388"/>
        <s v="ORD-10394"/>
        <s v="ORD-10397"/>
        <s v="ORD-10398"/>
        <s v="ORD-10402"/>
        <s v="ORD-10403"/>
        <s v="ORD-10405"/>
        <s v="ORD-10412"/>
        <s v="ORD-10418"/>
        <s v="ORD-10419"/>
        <s v="ORD-10426"/>
        <s v="ORD-10428"/>
        <s v="ORD-10429"/>
        <s v="ORD-10432"/>
        <s v="ORD-10435"/>
        <s v="ORD-10446"/>
        <s v="ORD-10447"/>
        <s v="ORD-10449"/>
        <s v="ORD-10452"/>
        <s v="ORD-10456"/>
        <s v="ORD-10457"/>
        <s v="ORD-10463"/>
        <s v="ORD-10469"/>
        <s v="ORD-10474"/>
        <s v="ORD-10483"/>
        <s v="ORD-10502"/>
        <s v="ORD-10504"/>
        <s v="ORD-10515"/>
        <s v="ORD-10519"/>
        <s v="ORD-10521"/>
        <s v="ORD-10541"/>
        <s v="ORD-10550"/>
        <s v="ORD-10551"/>
        <s v="ORD-10562"/>
        <s v="ORD-10565"/>
        <s v="ORD-10572"/>
        <s v="ORD-10574"/>
        <s v="ORD-10575"/>
        <s v="ORD-10579"/>
        <s v="ORD-10581"/>
        <s v="ORD-10589"/>
        <s v="ORD-10593"/>
        <s v="ORD-10595"/>
        <s v="ORD-10605"/>
        <s v="ORD-10610"/>
        <s v="ORD-10614"/>
        <s v="ORD-10619"/>
        <s v="ORD-10620"/>
        <s v="ORD-10627"/>
        <s v="ORD-10629"/>
        <s v="ORD-10630"/>
        <s v="ORD-10635"/>
        <s v="ORD-10636"/>
        <s v="ORD-10638"/>
        <s v="ORD-10651"/>
        <s v="ORD-10662"/>
        <s v="ORD-10672"/>
        <s v="ORD-10680"/>
        <s v="ORD-10686"/>
        <s v="ORD-10696"/>
        <s v="ORD-10698"/>
        <s v="ORD-10704"/>
        <s v="ORD-10707"/>
        <s v="ORD-10710"/>
        <s v="ORD-10712"/>
        <s v="ORD-10715"/>
        <s v="ORD-10720"/>
        <s v="ORD-10727"/>
        <s v="ORD-10729"/>
        <s v="ORD-10734"/>
        <s v="ORD-10735"/>
        <s v="ORD-10738"/>
        <s v="ORD-10741"/>
        <s v="ORD-10745"/>
        <s v="ORD-10747"/>
        <s v="ORD-10750"/>
        <s v="ORD-10752"/>
        <s v="ORD-10756"/>
        <s v="ORD-10758"/>
        <s v="ORD-10760"/>
        <s v="ORD-10763"/>
        <s v="ORD-10765"/>
        <s v="ORD-10766"/>
        <s v="ORD-10767"/>
        <s v="ORD-10771"/>
        <s v="ORD-10774"/>
        <s v="ORD-10777"/>
        <s v="ORD-10785"/>
        <s v="ORD-10787"/>
        <s v="ORD-10793"/>
        <s v="ORD-10801"/>
        <s v="ORD-10808"/>
        <s v="ORD-10823"/>
        <s v="ORD-10830"/>
        <s v="ORD-10835"/>
        <s v="ORD-10837"/>
        <s v="ORD-10842"/>
        <s v="ORD-10849"/>
        <s v="ORD-10854"/>
        <s v="ORD-10856"/>
        <s v="ORD-10863"/>
        <s v="ORD-10864"/>
        <s v="ORD-10868"/>
        <s v="ORD-10871"/>
        <s v="ORD-10880"/>
        <s v="ORD-10897"/>
        <s v="ORD-10899"/>
        <s v="ORD-10900"/>
        <s v="ORD-10901"/>
        <s v="ORD-10902"/>
        <s v="ORD-10903"/>
        <s v="ORD-10904"/>
        <s v="ORD-10908"/>
        <s v="ORD-10909"/>
        <s v="ORD-10912"/>
        <s v="ORD-10916"/>
        <s v="ORD-10928"/>
        <s v="ORD-10929"/>
        <s v="ORD-10935"/>
        <s v="ORD-10937"/>
        <s v="ORD-10938"/>
        <s v="ORD-10940"/>
        <s v="ORD-10948"/>
        <s v="ORD-10949"/>
        <s v="ORD-10953"/>
        <s v="ORD-10956"/>
        <s v="ORD-10965"/>
        <s v="ORD-10967"/>
        <s v="ORD-10975"/>
        <s v="ORD-10994"/>
        <s v="ORD-10996"/>
        <s v="ORD-10002"/>
        <s v="ORD-10004"/>
        <s v="ORD-10011"/>
        <s v="ORD-10030"/>
        <s v="ORD-10031"/>
        <s v="ORD-10034"/>
        <s v="ORD-10051"/>
        <s v="ORD-10059"/>
        <s v="ORD-10064"/>
        <s v="ORD-10066"/>
        <s v="ORD-10067"/>
        <s v="ORD-10076"/>
        <s v="ORD-10079"/>
        <s v="ORD-10082"/>
        <s v="ORD-10090"/>
        <s v="ORD-10097"/>
        <s v="ORD-10098"/>
        <s v="ORD-10099"/>
        <s v="ORD-10105"/>
        <s v="ORD-10111"/>
        <s v="ORD-10112"/>
        <s v="ORD-10115"/>
        <s v="ORD-10118"/>
        <s v="ORD-10127"/>
        <s v="ORD-10131"/>
        <s v="ORD-10133"/>
        <s v="ORD-10137"/>
        <s v="ORD-10143"/>
        <s v="ORD-10144"/>
        <s v="ORD-10153"/>
        <s v="ORD-10156"/>
        <s v="ORD-10163"/>
        <s v="ORD-10164"/>
        <s v="ORD-10166"/>
        <s v="ORD-10172"/>
        <s v="ORD-10174"/>
        <s v="ORD-10175"/>
        <s v="ORD-10184"/>
        <s v="ORD-10188"/>
        <s v="ORD-10192"/>
        <s v="ORD-10203"/>
        <s v="ORD-10207"/>
        <s v="ORD-10215"/>
        <s v="ORD-10224"/>
        <s v="ORD-10227"/>
        <s v="ORD-10229"/>
        <s v="ORD-10234"/>
        <s v="ORD-10236"/>
        <s v="ORD-10237"/>
        <s v="ORD-10242"/>
        <s v="ORD-10246"/>
        <s v="ORD-10258"/>
        <s v="ORD-10268"/>
        <s v="ORD-10271"/>
        <s v="ORD-10273"/>
        <s v="ORD-10277"/>
        <s v="ORD-10278"/>
        <s v="ORD-10279"/>
        <s v="ORD-10280"/>
        <s v="ORD-10281"/>
        <s v="ORD-10286"/>
        <s v="ORD-10290"/>
        <s v="ORD-10292"/>
        <s v="ORD-10298"/>
        <s v="ORD-10302"/>
        <s v="ORD-10318"/>
        <s v="ORD-10319"/>
        <s v="ORD-10322"/>
        <s v="ORD-10336"/>
        <s v="ORD-10351"/>
        <s v="ORD-10358"/>
        <s v="ORD-10359"/>
        <s v="ORD-10360"/>
        <s v="ORD-10375"/>
        <s v="ORD-10380"/>
        <s v="ORD-10392"/>
        <s v="ORD-10406"/>
        <s v="ORD-10407"/>
        <s v="ORD-10408"/>
        <s v="ORD-10409"/>
        <s v="ORD-10423"/>
        <s v="ORD-10424"/>
        <s v="ORD-10427"/>
        <s v="ORD-10436"/>
        <s v="ORD-10438"/>
        <s v="ORD-10442"/>
        <s v="ORD-10453"/>
        <s v="ORD-10454"/>
        <s v="ORD-10472"/>
        <s v="ORD-10480"/>
        <s v="ORD-10492"/>
        <s v="ORD-10498"/>
        <s v="ORD-10503"/>
        <s v="ORD-10505"/>
        <s v="ORD-10513"/>
        <s v="ORD-10517"/>
        <s v="ORD-10518"/>
        <s v="ORD-10529"/>
        <s v="ORD-10530"/>
        <s v="ORD-10531"/>
        <s v="ORD-10533"/>
        <s v="ORD-10534"/>
        <s v="ORD-10539"/>
        <s v="ORD-10543"/>
        <s v="ORD-10547"/>
        <s v="ORD-10555"/>
        <s v="ORD-10556"/>
        <s v="ORD-10559"/>
        <s v="ORD-10560"/>
        <s v="ORD-10563"/>
        <s v="ORD-10590"/>
        <s v="ORD-10594"/>
        <s v="ORD-10602"/>
        <s v="ORD-10618"/>
        <s v="ORD-10623"/>
        <s v="ORD-10626"/>
        <s v="ORD-10628"/>
        <s v="ORD-10637"/>
        <s v="ORD-10639"/>
        <s v="ORD-10640"/>
        <s v="ORD-10641"/>
        <s v="ORD-10642"/>
        <s v="ORD-10643"/>
        <s v="ORD-10644"/>
        <s v="ORD-10645"/>
        <s v="ORD-10648"/>
        <s v="ORD-10655"/>
        <s v="ORD-10665"/>
        <s v="ORD-10673"/>
        <s v="ORD-10676"/>
        <s v="ORD-10683"/>
        <s v="ORD-10684"/>
        <s v="ORD-10685"/>
        <s v="ORD-10687"/>
        <s v="ORD-10690"/>
        <s v="ORD-10694"/>
        <s v="ORD-10695"/>
        <s v="ORD-10700"/>
        <s v="ORD-10703"/>
        <s v="ORD-10705"/>
        <s v="ORD-10706"/>
        <s v="ORD-10709"/>
        <s v="ORD-10713"/>
        <s v="ORD-10717"/>
        <s v="ORD-10732"/>
        <s v="ORD-10743"/>
        <s v="ORD-10746"/>
        <s v="ORD-10749"/>
        <s v="ORD-10753"/>
        <s v="ORD-10755"/>
        <s v="ORD-10761"/>
        <s v="ORD-10769"/>
        <s v="ORD-10773"/>
        <s v="ORD-10779"/>
        <s v="ORD-10783"/>
        <s v="ORD-10784"/>
        <s v="ORD-10792"/>
        <s v="ORD-10800"/>
        <s v="ORD-10802"/>
        <s v="ORD-10805"/>
        <s v="ORD-10807"/>
        <s v="ORD-10813"/>
        <s v="ORD-10824"/>
        <s v="ORD-10833"/>
        <s v="ORD-10838"/>
        <s v="ORD-10840"/>
        <s v="ORD-10847"/>
        <s v="ORD-10861"/>
        <s v="ORD-10869"/>
        <s v="ORD-10873"/>
        <s v="ORD-10884"/>
        <s v="ORD-10885"/>
        <s v="ORD-10891"/>
        <s v="ORD-10893"/>
        <s v="ORD-10906"/>
        <s v="ORD-10907"/>
        <s v="ORD-10915"/>
        <s v="ORD-10918"/>
        <s v="ORD-10919"/>
        <s v="ORD-10923"/>
        <s v="ORD-10924"/>
        <s v="ORD-10926"/>
        <s v="ORD-10932"/>
        <s v="ORD-10934"/>
        <s v="ORD-10936"/>
        <s v="ORD-10941"/>
        <s v="ORD-10942"/>
        <s v="ORD-10943"/>
        <s v="ORD-10945"/>
        <s v="ORD-10950"/>
        <s v="ORD-10952"/>
        <s v="ORD-10957"/>
        <s v="ORD-10959"/>
        <s v="ORD-10963"/>
        <s v="ORD-10966"/>
        <s v="ORD-10981"/>
        <s v="ORD-10989"/>
        <s v="ORD-10990"/>
        <s v="ORD-10992"/>
        <s v="ORD-10005"/>
        <s v="ORD-10006"/>
        <s v="ORD-10010"/>
        <s v="ORD-10016"/>
        <s v="ORD-10019"/>
        <s v="ORD-10025"/>
        <s v="ORD-10029"/>
        <s v="ORD-10035"/>
        <s v="ORD-10037"/>
        <s v="ORD-10039"/>
        <s v="ORD-10052"/>
        <s v="ORD-10053"/>
        <s v="ORD-10055"/>
        <s v="ORD-10060"/>
        <s v="ORD-10061"/>
        <s v="ORD-10065"/>
        <s v="ORD-10073"/>
        <s v="ORD-10074"/>
        <s v="ORD-10087"/>
        <s v="ORD-10092"/>
        <s v="ORD-10093"/>
        <s v="ORD-10094"/>
        <s v="ORD-10103"/>
        <s v="ORD-10109"/>
        <s v="ORD-10110"/>
        <s v="ORD-10113"/>
        <s v="ORD-10117"/>
        <s v="ORD-10120"/>
        <s v="ORD-10141"/>
        <s v="ORD-10146"/>
        <s v="ORD-10150"/>
        <s v="ORD-10151"/>
        <s v="ORD-10155"/>
        <s v="ORD-10157"/>
        <s v="ORD-10159"/>
        <s v="ORD-10176"/>
        <s v="ORD-10177"/>
        <s v="ORD-10178"/>
        <s v="ORD-10182"/>
        <s v="ORD-10190"/>
        <s v="ORD-10193"/>
        <s v="ORD-10194"/>
        <s v="ORD-10197"/>
        <s v="ORD-10199"/>
        <s v="ORD-10200"/>
        <s v="ORD-10201"/>
        <s v="ORD-10213"/>
        <s v="ORD-10216"/>
        <s v="ORD-10217"/>
        <s v="ORD-10219"/>
        <s v="ORD-10220"/>
        <s v="ORD-10235"/>
        <s v="ORD-10238"/>
        <s v="ORD-10239"/>
        <s v="ORD-10241"/>
        <s v="ORD-10247"/>
        <s v="ORD-10252"/>
        <s v="ORD-10254"/>
        <s v="ORD-10262"/>
        <s v="ORD-10269"/>
        <s v="ORD-10272"/>
        <s v="ORD-10282"/>
        <s v="ORD-10289"/>
        <s v="ORD-10300"/>
        <s v="ORD-10301"/>
        <s v="ORD-10306"/>
        <s v="ORD-10314"/>
        <s v="ORD-10316"/>
        <s v="ORD-10331"/>
        <s v="ORD-10332"/>
        <s v="ORD-10333"/>
        <s v="ORD-10335"/>
        <s v="ORD-10337"/>
        <s v="ORD-10339"/>
        <s v="ORD-10342"/>
        <s v="ORD-10344"/>
        <s v="ORD-10347"/>
        <s v="ORD-10353"/>
        <s v="ORD-10372"/>
        <s v="ORD-10376"/>
        <s v="ORD-10378"/>
        <s v="ORD-10379"/>
        <s v="ORD-10384"/>
        <s v="ORD-10399"/>
        <s v="ORD-10401"/>
        <s v="ORD-10413"/>
        <s v="ORD-10414"/>
        <s v="ORD-10415"/>
        <s v="ORD-10431"/>
        <s v="ORD-10451"/>
        <s v="ORD-10466"/>
        <s v="ORD-10470"/>
        <s v="ORD-10475"/>
        <s v="ORD-10478"/>
        <s v="ORD-10479"/>
        <s v="ORD-10482"/>
        <s v="ORD-10486"/>
        <s v="ORD-10488"/>
        <s v="ORD-10489"/>
        <s v="ORD-10496"/>
        <s v="ORD-10500"/>
        <s v="ORD-10501"/>
        <s v="ORD-10507"/>
        <s v="ORD-10509"/>
        <s v="ORD-10514"/>
        <s v="ORD-10520"/>
        <s v="ORD-10522"/>
        <s v="ORD-10525"/>
        <s v="ORD-10528"/>
        <s v="ORD-10542"/>
        <s v="ORD-10549"/>
        <s v="ORD-10552"/>
        <s v="ORD-10566"/>
        <s v="ORD-10576"/>
        <s v="ORD-10577"/>
        <s v="ORD-10580"/>
        <s v="ORD-10587"/>
        <s v="ORD-10588"/>
        <s v="ORD-10591"/>
        <s v="ORD-10596"/>
        <s v="ORD-10599"/>
        <s v="ORD-10601"/>
        <s v="ORD-10609"/>
        <s v="ORD-10613"/>
        <s v="ORD-10615"/>
        <s v="ORD-10616"/>
        <s v="ORD-10622"/>
        <s v="ORD-10632"/>
        <s v="ORD-10633"/>
        <s v="ORD-10646"/>
        <s v="ORD-10653"/>
        <s v="ORD-10659"/>
        <s v="ORD-10661"/>
        <s v="ORD-10666"/>
        <s v="ORD-10674"/>
        <s v="ORD-10675"/>
        <s v="ORD-10682"/>
        <s v="ORD-10692"/>
        <s v="ORD-10697"/>
        <s v="ORD-10701"/>
        <s v="ORD-10724"/>
        <s v="ORD-10725"/>
        <s v="ORD-10728"/>
        <s v="ORD-10739"/>
        <s v="ORD-10744"/>
        <s v="ORD-10748"/>
        <s v="ORD-10754"/>
        <s v="ORD-10757"/>
        <s v="ORD-10764"/>
        <s v="ORD-10768"/>
        <s v="ORD-10770"/>
        <s v="ORD-10775"/>
        <s v="ORD-10776"/>
        <s v="ORD-10789"/>
        <s v="ORD-10794"/>
        <s v="ORD-10798"/>
        <s v="ORD-10809"/>
        <s v="ORD-10810"/>
        <s v="ORD-10811"/>
        <s v="ORD-10812"/>
        <s v="ORD-10815"/>
        <s v="ORD-10818"/>
        <s v="ORD-10831"/>
        <s v="ORD-10851"/>
        <s v="ORD-10852"/>
        <s v="ORD-10855"/>
        <s v="ORD-10860"/>
        <s v="ORD-10865"/>
        <s v="ORD-10866"/>
        <s v="ORD-10872"/>
        <s v="ORD-10877"/>
        <s v="ORD-10879"/>
        <s v="ORD-10892"/>
        <s v="ORD-10895"/>
        <s v="ORD-10896"/>
        <s v="ORD-10911"/>
        <s v="ORD-10920"/>
        <s v="ORD-10933"/>
        <s v="ORD-10939"/>
        <s v="ORD-10944"/>
        <s v="ORD-10947"/>
        <s v="ORD-10951"/>
        <s v="ORD-10954"/>
        <s v="ORD-10958"/>
        <s v="ORD-10982"/>
        <s v="ORD-10986"/>
        <s v="ORD-10993"/>
        <s v="ORD-10009"/>
        <s v="ORD-10012"/>
        <s v="ORD-10014"/>
        <s v="ORD-10015"/>
        <s v="ORD-10018"/>
        <s v="ORD-10022"/>
        <s v="ORD-10024"/>
        <s v="ORD-10027"/>
        <s v="ORD-10028"/>
        <s v="ORD-10036"/>
        <s v="ORD-10048"/>
        <s v="ORD-10050"/>
        <s v="ORD-10056"/>
        <s v="ORD-10062"/>
        <s v="ORD-10068"/>
        <s v="ORD-10069"/>
        <s v="ORD-10075"/>
        <s v="ORD-10078"/>
        <s v="ORD-10088"/>
        <s v="ORD-10089"/>
        <s v="ORD-10107"/>
        <s v="ORD-10108"/>
        <s v="ORD-10114"/>
        <s v="ORD-10122"/>
        <s v="ORD-10125"/>
        <s v="ORD-10128"/>
        <s v="ORD-10130"/>
        <s v="ORD-10132"/>
        <s v="ORD-10134"/>
        <s v="ORD-10135"/>
        <s v="ORD-10140"/>
        <s v="ORD-10142"/>
        <s v="ORD-10158"/>
        <s v="ORD-10160"/>
        <s v="ORD-10161"/>
        <s v="ORD-10170"/>
        <s v="ORD-10173"/>
        <s v="ORD-10179"/>
        <s v="ORD-10180"/>
        <s v="ORD-10183"/>
        <s v="ORD-10185"/>
        <s v="ORD-10204"/>
        <s v="ORD-10206"/>
        <s v="ORD-10209"/>
        <s v="ORD-10210"/>
        <s v="ORD-10218"/>
        <s v="ORD-10231"/>
        <s v="ORD-10243"/>
        <s v="ORD-10248"/>
        <s v="ORD-10251"/>
        <s v="ORD-10256"/>
        <s v="ORD-10260"/>
        <s v="ORD-10264"/>
        <s v="ORD-10266"/>
        <s v="ORD-10267"/>
        <s v="ORD-10275"/>
        <s v="ORD-10293"/>
        <s v="ORD-10294"/>
        <s v="ORD-10299"/>
        <s v="ORD-10303"/>
        <s v="ORD-10312"/>
        <s v="ORD-10313"/>
        <s v="ORD-10315"/>
        <s v="ORD-10320"/>
        <s v="ORD-10321"/>
        <s v="ORD-10326"/>
        <s v="ORD-10328"/>
        <s v="ORD-10338"/>
        <s v="ORD-10346"/>
        <s v="ORD-10349"/>
        <s v="ORD-10352"/>
        <s v="ORD-10361"/>
        <s v="ORD-10363"/>
        <s v="ORD-10364"/>
        <s v="ORD-10368"/>
        <s v="ORD-10374"/>
        <s v="ORD-10382"/>
        <s v="ORD-10383"/>
        <s v="ORD-10385"/>
        <s v="ORD-10390"/>
        <s v="ORD-10393"/>
        <s v="ORD-10396"/>
        <s v="ORD-10404"/>
        <s v="ORD-10411"/>
        <s v="ORD-10417"/>
        <s v="ORD-10421"/>
        <s v="ORD-10422"/>
        <s v="ORD-10437"/>
        <s v="ORD-10443"/>
        <s v="ORD-10444"/>
        <s v="ORD-10445"/>
        <s v="ORD-10448"/>
        <s v="ORD-10450"/>
        <s v="ORD-10461"/>
        <s v="ORD-10467"/>
        <s v="ORD-10468"/>
        <s v="ORD-10471"/>
        <s v="ORD-10477"/>
        <s v="ORD-10484"/>
        <s v="ORD-10487"/>
        <s v="ORD-10491"/>
        <s v="ORD-10493"/>
        <s v="ORD-10494"/>
        <s v="ORD-10495"/>
        <s v="ORD-10508"/>
        <s v="ORD-10523"/>
        <s v="ORD-10526"/>
        <s v="ORD-10532"/>
        <s v="ORD-10535"/>
        <s v="ORD-10537"/>
        <s v="ORD-10540"/>
        <s v="ORD-10544"/>
        <s v="ORD-10554"/>
        <s v="ORD-10557"/>
        <s v="ORD-10558"/>
        <s v="ORD-10567"/>
        <s v="ORD-10568"/>
        <s v="ORD-10569"/>
        <s v="ORD-10571"/>
        <s v="ORD-10573"/>
        <s v="ORD-10578"/>
        <s v="ORD-10582"/>
        <s v="ORD-10584"/>
        <s v="ORD-10585"/>
        <s v="ORD-10586"/>
        <s v="ORD-10592"/>
        <s v="ORD-10597"/>
        <s v="ORD-10598"/>
        <s v="ORD-10600"/>
        <s v="ORD-10603"/>
        <s v="ORD-10606"/>
        <s v="ORD-10607"/>
        <s v="ORD-10608"/>
        <s v="ORD-10611"/>
        <s v="ORD-10612"/>
        <s v="ORD-10621"/>
        <s v="ORD-10624"/>
        <s v="ORD-10631"/>
        <s v="ORD-10649"/>
        <s v="ORD-10654"/>
        <s v="ORD-10660"/>
        <s v="ORD-10663"/>
        <s v="ORD-10667"/>
        <s v="ORD-10668"/>
        <s v="ORD-10669"/>
        <s v="ORD-10670"/>
        <s v="ORD-10678"/>
        <s v="ORD-10691"/>
        <s v="ORD-10693"/>
        <s v="ORD-10708"/>
        <s v="ORD-10714"/>
        <s v="ORD-10718"/>
        <s v="ORD-10723"/>
        <s v="ORD-10726"/>
        <s v="ORD-10733"/>
        <s v="ORD-10737"/>
        <s v="ORD-10740"/>
        <s v="ORD-10772"/>
        <s v="ORD-10782"/>
        <s v="ORD-10788"/>
        <s v="ORD-10790"/>
        <s v="ORD-10795"/>
        <s v="ORD-10797"/>
        <s v="ORD-10825"/>
        <s v="ORD-10832"/>
        <s v="ORD-10836"/>
        <s v="ORD-10844"/>
        <s v="ORD-10845"/>
        <s v="ORD-10846"/>
        <s v="ORD-10848"/>
        <s v="ORD-10853"/>
        <s v="ORD-10859"/>
        <s v="ORD-10881"/>
        <s v="ORD-10882"/>
        <s v="ORD-10886"/>
        <s v="ORD-10887"/>
        <s v="ORD-10889"/>
        <s v="ORD-10890"/>
        <s v="ORD-10913"/>
        <s v="ORD-10925"/>
        <s v="ORD-10927"/>
        <s v="ORD-10946"/>
        <s v="ORD-10955"/>
        <s v="ORD-10960"/>
        <s v="ORD-10962"/>
        <s v="ORD-10971"/>
        <s v="ORD-10972"/>
        <s v="ORD-10973"/>
        <s v="ORD-10977"/>
        <s v="ORD-10978"/>
        <s v="ORD-10980"/>
        <s v="ORD-10984"/>
        <s v="ORD-10985"/>
        <s v="ORD-10987"/>
        <s v="ORD-10991"/>
        <s v="ORD-10995"/>
      </sharedItems>
    </cacheField>
    <cacheField name="Date" numFmtId="14">
      <sharedItems containsSemiMixedTypes="0" containsNonDate="0" containsDate="1" containsString="0" minDate="2026-01-01T00:00:00" maxDate="2027-01-01T00:00:00"/>
    </cacheField>
    <cacheField name="Product_ID" numFmtId="0">
      <sharedItems/>
    </cacheField>
    <cacheField name="Region" numFmtId="0">
      <sharedItems count="4">
        <s v="West"/>
        <s v="East"/>
        <s v="South"/>
        <s v="North"/>
      </sharedItems>
    </cacheField>
    <cacheField name="Quantity" numFmtId="0">
      <sharedItems containsSemiMixedTypes="0" containsString="0" containsNumber="1" containsInteger="1" minValue="1" maxValue="25"/>
    </cacheField>
    <cacheField name="Gross_Price" numFmtId="0">
      <sharedItems containsSemiMixedTypes="0" containsString="0" containsNumber="1" containsInteger="1" minValue="50" maxValue="450"/>
    </cacheField>
    <cacheField name="Discount_Pct" numFmtId="0">
      <sharedItems containsSemiMixedTypes="0" containsString="0" containsNumber="1" minValue="0" maxValue="0.35"/>
    </cacheField>
    <cacheField name="Shipping_Cost" numFmtId="0">
      <sharedItems containsSemiMixedTypes="0" containsString="0" containsNumber="1" containsInteger="1" minValue="5" maxValue="20"/>
    </cacheField>
    <cacheField name="Product_Name" numFmtId="0">
      <sharedItems/>
    </cacheField>
    <cacheField name="Category" numFmtId="0">
      <sharedItems count="3">
        <s v="Accessories"/>
        <s v="Electronics"/>
        <s v="Furniture"/>
      </sharedItems>
    </cacheField>
    <cacheField name="Unit_COGS" numFmtId="0">
      <sharedItems containsSemiMixedTypes="0" containsString="0" containsNumber="1" containsInteger="1" minValue="10" maxValue="150"/>
    </cacheField>
    <cacheField name="Gross_Revenue" numFmtId="0">
      <sharedItems containsSemiMixedTypes="0" containsString="0" containsNumber="1" containsInteger="1" minValue="50" maxValue="11250"/>
    </cacheField>
    <cacheField name="Discount_Amount" numFmtId="0">
      <sharedItems containsSemiMixedTypes="0" containsString="0" containsNumber="1" minValue="0" maxValue="157.5"/>
    </cacheField>
    <cacheField name="Total_COGS" numFmtId="0">
      <sharedItems containsSemiMixedTypes="0" containsString="0" containsNumber="1" containsInteger="1" minValue="10" maxValue="3750"/>
    </cacheField>
    <cacheField name="Net_Profit" numFmtId="0">
      <sharedItems containsSemiMixedTypes="0" containsString="0" containsNumber="1" containsInteger="1" minValue="0" maxValue="7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6-10-07T00:00:00"/>
    <s v="P001"/>
    <x v="0"/>
    <n v="24"/>
    <n v="50"/>
    <n v="0.2"/>
    <n v="20"/>
    <s v="Wireless Mouse"/>
    <x v="0"/>
    <n v="10"/>
    <n v="1200"/>
    <n v="10"/>
    <n v="240"/>
    <n v="940"/>
  </r>
  <r>
    <x v="1"/>
    <d v="2026-03-25T00:00:00"/>
    <s v="P001"/>
    <x v="0"/>
    <n v="18"/>
    <n v="50"/>
    <n v="0"/>
    <n v="20"/>
    <s v="Wireless Mouse"/>
    <x v="0"/>
    <n v="10"/>
    <n v="900"/>
    <n v="0"/>
    <n v="180"/>
    <n v="700"/>
  </r>
  <r>
    <x v="2"/>
    <d v="2026-05-19T00:00:00"/>
    <s v="P001"/>
    <x v="1"/>
    <n v="25"/>
    <n v="50"/>
    <n v="0.1"/>
    <n v="20"/>
    <s v="Wireless Mouse"/>
    <x v="0"/>
    <n v="10"/>
    <n v="1250"/>
    <n v="5"/>
    <n v="250"/>
    <n v="980"/>
  </r>
  <r>
    <x v="3"/>
    <d v="2026-12-08T00:00:00"/>
    <s v="P001"/>
    <x v="2"/>
    <n v="12"/>
    <n v="50"/>
    <n v="0.35"/>
    <n v="5"/>
    <s v="Wireless Mouse"/>
    <x v="0"/>
    <n v="10"/>
    <n v="600"/>
    <n v="17.5"/>
    <n v="120"/>
    <n v="475"/>
  </r>
  <r>
    <x v="4"/>
    <d v="2026-12-05T00:00:00"/>
    <s v="P001"/>
    <x v="0"/>
    <n v="19"/>
    <n v="50"/>
    <n v="0.35"/>
    <n v="5"/>
    <s v="Wireless Mouse"/>
    <x v="0"/>
    <n v="10"/>
    <n v="950"/>
    <n v="17.5"/>
    <n v="190"/>
    <n v="755"/>
  </r>
  <r>
    <x v="5"/>
    <d v="2026-06-06T00:00:00"/>
    <s v="P001"/>
    <x v="1"/>
    <n v="18"/>
    <n v="50"/>
    <n v="0"/>
    <n v="10"/>
    <s v="Wireless Mouse"/>
    <x v="0"/>
    <n v="10"/>
    <n v="900"/>
    <n v="0"/>
    <n v="180"/>
    <n v="710"/>
  </r>
  <r>
    <x v="6"/>
    <d v="2026-04-09T00:00:00"/>
    <s v="P001"/>
    <x v="1"/>
    <n v="6"/>
    <n v="50"/>
    <n v="0.35"/>
    <n v="5"/>
    <s v="Wireless Mouse"/>
    <x v="0"/>
    <n v="10"/>
    <n v="300"/>
    <n v="17.5"/>
    <n v="60"/>
    <n v="235"/>
  </r>
  <r>
    <x v="7"/>
    <d v="2026-01-29T00:00:00"/>
    <s v="P001"/>
    <x v="1"/>
    <n v="1"/>
    <n v="50"/>
    <n v="0.35"/>
    <n v="20"/>
    <s v="Wireless Mouse"/>
    <x v="0"/>
    <n v="10"/>
    <n v="50"/>
    <n v="17.5"/>
    <n v="10"/>
    <n v="20"/>
  </r>
  <r>
    <x v="8"/>
    <d v="2026-10-17T00:00:00"/>
    <s v="P001"/>
    <x v="2"/>
    <n v="11"/>
    <n v="50"/>
    <n v="0.35"/>
    <n v="20"/>
    <s v="Wireless Mouse"/>
    <x v="0"/>
    <n v="10"/>
    <n v="550"/>
    <n v="17.5"/>
    <n v="110"/>
    <n v="420"/>
  </r>
  <r>
    <x v="9"/>
    <d v="2026-09-14T00:00:00"/>
    <s v="P001"/>
    <x v="2"/>
    <n v="16"/>
    <n v="50"/>
    <n v="0.2"/>
    <n v="20"/>
    <s v="Wireless Mouse"/>
    <x v="0"/>
    <n v="10"/>
    <n v="800"/>
    <n v="10"/>
    <n v="160"/>
    <n v="620"/>
  </r>
  <r>
    <x v="10"/>
    <d v="2026-08-08T00:00:00"/>
    <s v="P001"/>
    <x v="1"/>
    <n v="20"/>
    <n v="50"/>
    <n v="0.35"/>
    <n v="15"/>
    <s v="Wireless Mouse"/>
    <x v="0"/>
    <n v="10"/>
    <n v="1000"/>
    <n v="17.5"/>
    <n v="200"/>
    <n v="785"/>
  </r>
  <r>
    <x v="11"/>
    <d v="2026-06-06T00:00:00"/>
    <s v="P001"/>
    <x v="0"/>
    <n v="19"/>
    <n v="50"/>
    <n v="0.2"/>
    <n v="20"/>
    <s v="Wireless Mouse"/>
    <x v="0"/>
    <n v="10"/>
    <n v="950"/>
    <n v="10"/>
    <n v="190"/>
    <n v="740"/>
  </r>
  <r>
    <x v="12"/>
    <d v="2026-12-10T00:00:00"/>
    <s v="P001"/>
    <x v="3"/>
    <n v="15"/>
    <n v="50"/>
    <n v="0"/>
    <n v="10"/>
    <s v="Wireless Mouse"/>
    <x v="0"/>
    <n v="10"/>
    <n v="750"/>
    <n v="0"/>
    <n v="150"/>
    <n v="590"/>
  </r>
  <r>
    <x v="13"/>
    <d v="2026-04-03T00:00:00"/>
    <s v="P001"/>
    <x v="3"/>
    <n v="18"/>
    <n v="50"/>
    <n v="0.2"/>
    <n v="10"/>
    <s v="Wireless Mouse"/>
    <x v="0"/>
    <n v="10"/>
    <n v="900"/>
    <n v="10"/>
    <n v="180"/>
    <n v="710"/>
  </r>
  <r>
    <x v="14"/>
    <d v="2026-06-16T00:00:00"/>
    <s v="P001"/>
    <x v="0"/>
    <n v="22"/>
    <n v="50"/>
    <n v="0.35"/>
    <n v="15"/>
    <s v="Wireless Mouse"/>
    <x v="0"/>
    <n v="10"/>
    <n v="1100"/>
    <n v="17.5"/>
    <n v="220"/>
    <n v="865"/>
  </r>
  <r>
    <x v="15"/>
    <d v="2026-11-02T00:00:00"/>
    <s v="P001"/>
    <x v="2"/>
    <n v="5"/>
    <n v="50"/>
    <n v="0.2"/>
    <n v="15"/>
    <s v="Wireless Mouse"/>
    <x v="0"/>
    <n v="10"/>
    <n v="250"/>
    <n v="10"/>
    <n v="50"/>
    <n v="185"/>
  </r>
  <r>
    <x v="16"/>
    <d v="2026-02-08T00:00:00"/>
    <s v="P001"/>
    <x v="1"/>
    <n v="2"/>
    <n v="50"/>
    <n v="0.2"/>
    <n v="10"/>
    <s v="Wireless Mouse"/>
    <x v="0"/>
    <n v="10"/>
    <n v="100"/>
    <n v="10"/>
    <n v="20"/>
    <n v="70"/>
  </r>
  <r>
    <x v="17"/>
    <d v="2026-09-12T00:00:00"/>
    <s v="P001"/>
    <x v="2"/>
    <n v="8"/>
    <n v="50"/>
    <n v="0"/>
    <n v="15"/>
    <s v="Wireless Mouse"/>
    <x v="0"/>
    <n v="10"/>
    <n v="400"/>
    <n v="0"/>
    <n v="80"/>
    <n v="305"/>
  </r>
  <r>
    <x v="18"/>
    <d v="2026-12-11T00:00:00"/>
    <s v="P001"/>
    <x v="3"/>
    <n v="25"/>
    <n v="50"/>
    <n v="0.1"/>
    <n v="15"/>
    <s v="Wireless Mouse"/>
    <x v="0"/>
    <n v="10"/>
    <n v="1250"/>
    <n v="5"/>
    <n v="250"/>
    <n v="985"/>
  </r>
  <r>
    <x v="19"/>
    <d v="2026-11-18T00:00:00"/>
    <s v="P001"/>
    <x v="3"/>
    <n v="5"/>
    <n v="50"/>
    <n v="0.35"/>
    <n v="5"/>
    <s v="Wireless Mouse"/>
    <x v="0"/>
    <n v="10"/>
    <n v="250"/>
    <n v="17.5"/>
    <n v="50"/>
    <n v="195"/>
  </r>
  <r>
    <x v="20"/>
    <d v="2026-05-07T00:00:00"/>
    <s v="P001"/>
    <x v="2"/>
    <n v="6"/>
    <n v="50"/>
    <n v="0"/>
    <n v="15"/>
    <s v="Wireless Mouse"/>
    <x v="0"/>
    <n v="10"/>
    <n v="300"/>
    <n v="0"/>
    <n v="60"/>
    <n v="225"/>
  </r>
  <r>
    <x v="21"/>
    <d v="2026-07-30T00:00:00"/>
    <s v="P001"/>
    <x v="0"/>
    <n v="16"/>
    <n v="50"/>
    <n v="0.35"/>
    <n v="20"/>
    <s v="Wireless Mouse"/>
    <x v="0"/>
    <n v="10"/>
    <n v="800"/>
    <n v="17.5"/>
    <n v="160"/>
    <n v="620"/>
  </r>
  <r>
    <x v="22"/>
    <d v="2026-10-21T00:00:00"/>
    <s v="P001"/>
    <x v="0"/>
    <n v="3"/>
    <n v="50"/>
    <n v="0.35"/>
    <n v="5"/>
    <s v="Wireless Mouse"/>
    <x v="0"/>
    <n v="10"/>
    <n v="150"/>
    <n v="17.5"/>
    <n v="30"/>
    <n v="115"/>
  </r>
  <r>
    <x v="23"/>
    <d v="2026-05-03T00:00:00"/>
    <s v="P001"/>
    <x v="2"/>
    <n v="3"/>
    <n v="50"/>
    <n v="0.35"/>
    <n v="5"/>
    <s v="Wireless Mouse"/>
    <x v="0"/>
    <n v="10"/>
    <n v="150"/>
    <n v="17.5"/>
    <n v="30"/>
    <n v="115"/>
  </r>
  <r>
    <x v="24"/>
    <d v="2026-07-14T00:00:00"/>
    <s v="P001"/>
    <x v="0"/>
    <n v="24"/>
    <n v="50"/>
    <n v="0.1"/>
    <n v="15"/>
    <s v="Wireless Mouse"/>
    <x v="0"/>
    <n v="10"/>
    <n v="1200"/>
    <n v="5"/>
    <n v="240"/>
    <n v="945"/>
  </r>
  <r>
    <x v="25"/>
    <d v="2026-12-14T00:00:00"/>
    <s v="P001"/>
    <x v="0"/>
    <n v="18"/>
    <n v="50"/>
    <n v="0.35"/>
    <n v="20"/>
    <s v="Wireless Mouse"/>
    <x v="0"/>
    <n v="10"/>
    <n v="900"/>
    <n v="17.5"/>
    <n v="180"/>
    <n v="700"/>
  </r>
  <r>
    <x v="26"/>
    <d v="2026-08-25T00:00:00"/>
    <s v="P001"/>
    <x v="3"/>
    <n v="4"/>
    <n v="50"/>
    <n v="0.35"/>
    <n v="15"/>
    <s v="Wireless Mouse"/>
    <x v="0"/>
    <n v="10"/>
    <n v="200"/>
    <n v="17.5"/>
    <n v="40"/>
    <n v="145"/>
  </r>
  <r>
    <x v="27"/>
    <d v="2026-10-24T00:00:00"/>
    <s v="P001"/>
    <x v="1"/>
    <n v="23"/>
    <n v="50"/>
    <n v="0.1"/>
    <n v="5"/>
    <s v="Wireless Mouse"/>
    <x v="0"/>
    <n v="10"/>
    <n v="1150"/>
    <n v="5"/>
    <n v="230"/>
    <n v="915"/>
  </r>
  <r>
    <x v="28"/>
    <d v="2026-08-24T00:00:00"/>
    <s v="P001"/>
    <x v="3"/>
    <n v="18"/>
    <n v="50"/>
    <n v="0.35"/>
    <n v="15"/>
    <s v="Wireless Mouse"/>
    <x v="0"/>
    <n v="10"/>
    <n v="900"/>
    <n v="17.5"/>
    <n v="180"/>
    <n v="705"/>
  </r>
  <r>
    <x v="29"/>
    <d v="2026-08-22T00:00:00"/>
    <s v="P001"/>
    <x v="0"/>
    <n v="24"/>
    <n v="50"/>
    <n v="0.1"/>
    <n v="20"/>
    <s v="Wireless Mouse"/>
    <x v="0"/>
    <n v="10"/>
    <n v="1200"/>
    <n v="5"/>
    <n v="240"/>
    <n v="940"/>
  </r>
  <r>
    <x v="30"/>
    <d v="2026-01-21T00:00:00"/>
    <s v="P001"/>
    <x v="3"/>
    <n v="1"/>
    <n v="50"/>
    <n v="0.35"/>
    <n v="15"/>
    <s v="Wireless Mouse"/>
    <x v="0"/>
    <n v="10"/>
    <n v="50"/>
    <n v="17.5"/>
    <n v="10"/>
    <n v="25"/>
  </r>
  <r>
    <x v="31"/>
    <d v="2026-09-02T00:00:00"/>
    <s v="P001"/>
    <x v="2"/>
    <n v="18"/>
    <n v="50"/>
    <n v="0"/>
    <n v="5"/>
    <s v="Wireless Mouse"/>
    <x v="0"/>
    <n v="10"/>
    <n v="900"/>
    <n v="0"/>
    <n v="180"/>
    <n v="715"/>
  </r>
  <r>
    <x v="32"/>
    <d v="2026-03-21T00:00:00"/>
    <s v="P001"/>
    <x v="1"/>
    <n v="17"/>
    <n v="50"/>
    <n v="0.35"/>
    <n v="5"/>
    <s v="Wireless Mouse"/>
    <x v="0"/>
    <n v="10"/>
    <n v="850"/>
    <n v="17.5"/>
    <n v="170"/>
    <n v="675"/>
  </r>
  <r>
    <x v="33"/>
    <d v="2026-08-23T00:00:00"/>
    <s v="P001"/>
    <x v="1"/>
    <n v="17"/>
    <n v="50"/>
    <n v="0"/>
    <n v="20"/>
    <s v="Wireless Mouse"/>
    <x v="0"/>
    <n v="10"/>
    <n v="850"/>
    <n v="0"/>
    <n v="170"/>
    <n v="660"/>
  </r>
  <r>
    <x v="34"/>
    <d v="2026-11-17T00:00:00"/>
    <s v="P001"/>
    <x v="3"/>
    <n v="18"/>
    <n v="50"/>
    <n v="0.1"/>
    <n v="15"/>
    <s v="Wireless Mouse"/>
    <x v="0"/>
    <n v="10"/>
    <n v="900"/>
    <n v="5"/>
    <n v="180"/>
    <n v="705"/>
  </r>
  <r>
    <x v="35"/>
    <d v="2026-08-25T00:00:00"/>
    <s v="P001"/>
    <x v="0"/>
    <n v="22"/>
    <n v="50"/>
    <n v="0.35"/>
    <n v="10"/>
    <s v="Wireless Mouse"/>
    <x v="0"/>
    <n v="10"/>
    <n v="1100"/>
    <n v="17.5"/>
    <n v="220"/>
    <n v="870"/>
  </r>
  <r>
    <x v="36"/>
    <d v="2026-03-15T00:00:00"/>
    <s v="P001"/>
    <x v="2"/>
    <n v="20"/>
    <n v="50"/>
    <n v="0"/>
    <n v="20"/>
    <s v="Wireless Mouse"/>
    <x v="0"/>
    <n v="10"/>
    <n v="1000"/>
    <n v="0"/>
    <n v="200"/>
    <n v="780"/>
  </r>
  <r>
    <x v="37"/>
    <d v="2026-11-14T00:00:00"/>
    <s v="P001"/>
    <x v="3"/>
    <n v="24"/>
    <n v="50"/>
    <n v="0.1"/>
    <n v="20"/>
    <s v="Wireless Mouse"/>
    <x v="0"/>
    <n v="10"/>
    <n v="1200"/>
    <n v="5"/>
    <n v="240"/>
    <n v="940"/>
  </r>
  <r>
    <x v="38"/>
    <d v="2026-02-22T00:00:00"/>
    <s v="P001"/>
    <x v="3"/>
    <n v="2"/>
    <n v="50"/>
    <n v="0"/>
    <n v="15"/>
    <s v="Wireless Mouse"/>
    <x v="0"/>
    <n v="10"/>
    <n v="100"/>
    <n v="0"/>
    <n v="20"/>
    <n v="65"/>
  </r>
  <r>
    <x v="39"/>
    <d v="2026-12-21T00:00:00"/>
    <s v="P001"/>
    <x v="1"/>
    <n v="21"/>
    <n v="50"/>
    <n v="0"/>
    <n v="20"/>
    <s v="Wireless Mouse"/>
    <x v="0"/>
    <n v="10"/>
    <n v="1050"/>
    <n v="0"/>
    <n v="210"/>
    <n v="820"/>
  </r>
  <r>
    <x v="40"/>
    <d v="2026-05-15T00:00:00"/>
    <s v="P001"/>
    <x v="2"/>
    <n v="14"/>
    <n v="50"/>
    <n v="0.1"/>
    <n v="5"/>
    <s v="Wireless Mouse"/>
    <x v="0"/>
    <n v="10"/>
    <n v="700"/>
    <n v="5"/>
    <n v="140"/>
    <n v="555"/>
  </r>
  <r>
    <x v="41"/>
    <d v="2026-10-04T00:00:00"/>
    <s v="P001"/>
    <x v="0"/>
    <n v="9"/>
    <n v="50"/>
    <n v="0.2"/>
    <n v="15"/>
    <s v="Wireless Mouse"/>
    <x v="0"/>
    <n v="10"/>
    <n v="450"/>
    <n v="10"/>
    <n v="90"/>
    <n v="345"/>
  </r>
  <r>
    <x v="42"/>
    <d v="2026-02-06T00:00:00"/>
    <s v="P001"/>
    <x v="3"/>
    <n v="2"/>
    <n v="50"/>
    <n v="0"/>
    <n v="5"/>
    <s v="Wireless Mouse"/>
    <x v="0"/>
    <n v="10"/>
    <n v="100"/>
    <n v="0"/>
    <n v="20"/>
    <n v="75"/>
  </r>
  <r>
    <x v="43"/>
    <d v="2026-02-01T00:00:00"/>
    <s v="P001"/>
    <x v="3"/>
    <n v="17"/>
    <n v="50"/>
    <n v="0.35"/>
    <n v="20"/>
    <s v="Wireless Mouse"/>
    <x v="0"/>
    <n v="10"/>
    <n v="850"/>
    <n v="17.5"/>
    <n v="170"/>
    <n v="660"/>
  </r>
  <r>
    <x v="44"/>
    <d v="2026-09-03T00:00:00"/>
    <s v="P001"/>
    <x v="1"/>
    <n v="2"/>
    <n v="50"/>
    <n v="0"/>
    <n v="20"/>
    <s v="Wireless Mouse"/>
    <x v="0"/>
    <n v="10"/>
    <n v="100"/>
    <n v="0"/>
    <n v="20"/>
    <n v="60"/>
  </r>
  <r>
    <x v="45"/>
    <d v="2026-09-30T00:00:00"/>
    <s v="P001"/>
    <x v="1"/>
    <n v="1"/>
    <n v="50"/>
    <n v="0.1"/>
    <n v="15"/>
    <s v="Wireless Mouse"/>
    <x v="0"/>
    <n v="10"/>
    <n v="50"/>
    <n v="5"/>
    <n v="10"/>
    <n v="25"/>
  </r>
  <r>
    <x v="46"/>
    <d v="2026-12-06T00:00:00"/>
    <s v="P001"/>
    <x v="0"/>
    <n v="11"/>
    <n v="50"/>
    <n v="0.35"/>
    <n v="20"/>
    <s v="Wireless Mouse"/>
    <x v="0"/>
    <n v="10"/>
    <n v="550"/>
    <n v="17.5"/>
    <n v="110"/>
    <n v="420"/>
  </r>
  <r>
    <x v="47"/>
    <d v="2026-03-17T00:00:00"/>
    <s v="P001"/>
    <x v="1"/>
    <n v="2"/>
    <n v="50"/>
    <n v="0.1"/>
    <n v="20"/>
    <s v="Wireless Mouse"/>
    <x v="0"/>
    <n v="10"/>
    <n v="100"/>
    <n v="5"/>
    <n v="20"/>
    <n v="60"/>
  </r>
  <r>
    <x v="48"/>
    <d v="2026-01-31T00:00:00"/>
    <s v="P001"/>
    <x v="1"/>
    <n v="21"/>
    <n v="50"/>
    <n v="0"/>
    <n v="20"/>
    <s v="Wireless Mouse"/>
    <x v="0"/>
    <n v="10"/>
    <n v="1050"/>
    <n v="0"/>
    <n v="210"/>
    <n v="820"/>
  </r>
  <r>
    <x v="49"/>
    <d v="2026-06-29T00:00:00"/>
    <s v="P001"/>
    <x v="3"/>
    <n v="21"/>
    <n v="50"/>
    <n v="0"/>
    <n v="5"/>
    <s v="Wireless Mouse"/>
    <x v="0"/>
    <n v="10"/>
    <n v="1050"/>
    <n v="0"/>
    <n v="210"/>
    <n v="835"/>
  </r>
  <r>
    <x v="50"/>
    <d v="2026-03-09T00:00:00"/>
    <s v="P001"/>
    <x v="1"/>
    <n v="5"/>
    <n v="50"/>
    <n v="0.2"/>
    <n v="15"/>
    <s v="Wireless Mouse"/>
    <x v="0"/>
    <n v="10"/>
    <n v="250"/>
    <n v="10"/>
    <n v="50"/>
    <n v="185"/>
  </r>
  <r>
    <x v="51"/>
    <d v="2026-05-17T00:00:00"/>
    <s v="P001"/>
    <x v="3"/>
    <n v="17"/>
    <n v="50"/>
    <n v="0"/>
    <n v="20"/>
    <s v="Wireless Mouse"/>
    <x v="0"/>
    <n v="10"/>
    <n v="850"/>
    <n v="0"/>
    <n v="170"/>
    <n v="660"/>
  </r>
  <r>
    <x v="52"/>
    <d v="2026-09-08T00:00:00"/>
    <s v="P001"/>
    <x v="1"/>
    <n v="20"/>
    <n v="50"/>
    <n v="0.1"/>
    <n v="15"/>
    <s v="Wireless Mouse"/>
    <x v="0"/>
    <n v="10"/>
    <n v="1000"/>
    <n v="5"/>
    <n v="200"/>
    <n v="785"/>
  </r>
  <r>
    <x v="53"/>
    <d v="2026-04-05T00:00:00"/>
    <s v="P001"/>
    <x v="1"/>
    <n v="16"/>
    <n v="50"/>
    <n v="0"/>
    <n v="20"/>
    <s v="Wireless Mouse"/>
    <x v="0"/>
    <n v="10"/>
    <n v="800"/>
    <n v="0"/>
    <n v="160"/>
    <n v="620"/>
  </r>
  <r>
    <x v="54"/>
    <d v="2026-03-28T00:00:00"/>
    <s v="P001"/>
    <x v="3"/>
    <n v="11"/>
    <n v="50"/>
    <n v="0.2"/>
    <n v="5"/>
    <s v="Wireless Mouse"/>
    <x v="0"/>
    <n v="10"/>
    <n v="550"/>
    <n v="10"/>
    <n v="110"/>
    <n v="435"/>
  </r>
  <r>
    <x v="55"/>
    <d v="2026-12-14T00:00:00"/>
    <s v="P001"/>
    <x v="3"/>
    <n v="5"/>
    <n v="50"/>
    <n v="0.1"/>
    <n v="5"/>
    <s v="Wireless Mouse"/>
    <x v="0"/>
    <n v="10"/>
    <n v="250"/>
    <n v="5"/>
    <n v="50"/>
    <n v="195"/>
  </r>
  <r>
    <x v="56"/>
    <d v="2026-11-02T00:00:00"/>
    <s v="P001"/>
    <x v="0"/>
    <n v="19"/>
    <n v="50"/>
    <n v="0.1"/>
    <n v="15"/>
    <s v="Wireless Mouse"/>
    <x v="0"/>
    <n v="10"/>
    <n v="950"/>
    <n v="5"/>
    <n v="190"/>
    <n v="745"/>
  </r>
  <r>
    <x v="57"/>
    <d v="2026-12-22T00:00:00"/>
    <s v="P001"/>
    <x v="0"/>
    <n v="25"/>
    <n v="50"/>
    <n v="0.2"/>
    <n v="5"/>
    <s v="Wireless Mouse"/>
    <x v="0"/>
    <n v="10"/>
    <n v="1250"/>
    <n v="10"/>
    <n v="250"/>
    <n v="995"/>
  </r>
  <r>
    <x v="58"/>
    <d v="2026-10-21T00:00:00"/>
    <s v="P001"/>
    <x v="0"/>
    <n v="25"/>
    <n v="50"/>
    <n v="0"/>
    <n v="5"/>
    <s v="Wireless Mouse"/>
    <x v="0"/>
    <n v="10"/>
    <n v="1250"/>
    <n v="0"/>
    <n v="250"/>
    <n v="995"/>
  </r>
  <r>
    <x v="59"/>
    <d v="2026-11-08T00:00:00"/>
    <s v="P001"/>
    <x v="3"/>
    <n v="7"/>
    <n v="50"/>
    <n v="0.1"/>
    <n v="10"/>
    <s v="Wireless Mouse"/>
    <x v="0"/>
    <n v="10"/>
    <n v="350"/>
    <n v="5"/>
    <n v="70"/>
    <n v="270"/>
  </r>
  <r>
    <x v="60"/>
    <d v="2026-02-03T00:00:00"/>
    <s v="P001"/>
    <x v="3"/>
    <n v="23"/>
    <n v="50"/>
    <n v="0"/>
    <n v="15"/>
    <s v="Wireless Mouse"/>
    <x v="0"/>
    <n v="10"/>
    <n v="1150"/>
    <n v="0"/>
    <n v="230"/>
    <n v="905"/>
  </r>
  <r>
    <x v="61"/>
    <d v="2026-01-17T00:00:00"/>
    <s v="P001"/>
    <x v="2"/>
    <n v="12"/>
    <n v="50"/>
    <n v="0.1"/>
    <n v="5"/>
    <s v="Wireless Mouse"/>
    <x v="0"/>
    <n v="10"/>
    <n v="600"/>
    <n v="5"/>
    <n v="120"/>
    <n v="475"/>
  </r>
  <r>
    <x v="62"/>
    <d v="2026-09-22T00:00:00"/>
    <s v="P001"/>
    <x v="3"/>
    <n v="4"/>
    <n v="50"/>
    <n v="0.1"/>
    <n v="20"/>
    <s v="Wireless Mouse"/>
    <x v="0"/>
    <n v="10"/>
    <n v="200"/>
    <n v="5"/>
    <n v="40"/>
    <n v="140"/>
  </r>
  <r>
    <x v="63"/>
    <d v="2026-09-03T00:00:00"/>
    <s v="P001"/>
    <x v="2"/>
    <n v="15"/>
    <n v="50"/>
    <n v="0.1"/>
    <n v="10"/>
    <s v="Wireless Mouse"/>
    <x v="0"/>
    <n v="10"/>
    <n v="750"/>
    <n v="5"/>
    <n v="150"/>
    <n v="590"/>
  </r>
  <r>
    <x v="64"/>
    <d v="2026-03-02T00:00:00"/>
    <s v="P001"/>
    <x v="0"/>
    <n v="11"/>
    <n v="50"/>
    <n v="0"/>
    <n v="10"/>
    <s v="Wireless Mouse"/>
    <x v="0"/>
    <n v="10"/>
    <n v="550"/>
    <n v="0"/>
    <n v="110"/>
    <n v="430"/>
  </r>
  <r>
    <x v="65"/>
    <d v="2026-01-16T00:00:00"/>
    <s v="P001"/>
    <x v="2"/>
    <n v="12"/>
    <n v="50"/>
    <n v="0.1"/>
    <n v="10"/>
    <s v="Wireless Mouse"/>
    <x v="0"/>
    <n v="10"/>
    <n v="600"/>
    <n v="5"/>
    <n v="120"/>
    <n v="470"/>
  </r>
  <r>
    <x v="66"/>
    <d v="2026-11-18T00:00:00"/>
    <s v="P001"/>
    <x v="1"/>
    <n v="6"/>
    <n v="50"/>
    <n v="0.35"/>
    <n v="20"/>
    <s v="Wireless Mouse"/>
    <x v="0"/>
    <n v="10"/>
    <n v="300"/>
    <n v="17.5"/>
    <n v="60"/>
    <n v="220"/>
  </r>
  <r>
    <x v="67"/>
    <d v="2026-11-08T00:00:00"/>
    <s v="P001"/>
    <x v="3"/>
    <n v="1"/>
    <n v="50"/>
    <n v="0.35"/>
    <n v="15"/>
    <s v="Wireless Mouse"/>
    <x v="0"/>
    <n v="10"/>
    <n v="50"/>
    <n v="17.5"/>
    <n v="10"/>
    <n v="25"/>
  </r>
  <r>
    <x v="68"/>
    <d v="2026-05-12T00:00:00"/>
    <s v="P001"/>
    <x v="0"/>
    <n v="18"/>
    <n v="50"/>
    <n v="0.35"/>
    <n v="20"/>
    <s v="Wireless Mouse"/>
    <x v="0"/>
    <n v="10"/>
    <n v="900"/>
    <n v="17.5"/>
    <n v="180"/>
    <n v="700"/>
  </r>
  <r>
    <x v="69"/>
    <d v="2026-01-06T00:00:00"/>
    <s v="P001"/>
    <x v="2"/>
    <n v="6"/>
    <n v="50"/>
    <n v="0.2"/>
    <n v="20"/>
    <s v="Wireless Mouse"/>
    <x v="0"/>
    <n v="10"/>
    <n v="300"/>
    <n v="10"/>
    <n v="60"/>
    <n v="220"/>
  </r>
  <r>
    <x v="70"/>
    <d v="2026-05-18T00:00:00"/>
    <s v="P001"/>
    <x v="2"/>
    <n v="9"/>
    <n v="50"/>
    <n v="0.1"/>
    <n v="10"/>
    <s v="Wireless Mouse"/>
    <x v="0"/>
    <n v="10"/>
    <n v="450"/>
    <n v="5"/>
    <n v="90"/>
    <n v="350"/>
  </r>
  <r>
    <x v="71"/>
    <d v="2026-07-22T00:00:00"/>
    <s v="P001"/>
    <x v="0"/>
    <n v="18"/>
    <n v="50"/>
    <n v="0.35"/>
    <n v="10"/>
    <s v="Wireless Mouse"/>
    <x v="0"/>
    <n v="10"/>
    <n v="900"/>
    <n v="17.5"/>
    <n v="180"/>
    <n v="710"/>
  </r>
  <r>
    <x v="72"/>
    <d v="2026-06-08T00:00:00"/>
    <s v="P001"/>
    <x v="1"/>
    <n v="2"/>
    <n v="50"/>
    <n v="0.1"/>
    <n v="5"/>
    <s v="Wireless Mouse"/>
    <x v="0"/>
    <n v="10"/>
    <n v="100"/>
    <n v="5"/>
    <n v="20"/>
    <n v="75"/>
  </r>
  <r>
    <x v="73"/>
    <d v="2026-11-01T00:00:00"/>
    <s v="P001"/>
    <x v="1"/>
    <n v="4"/>
    <n v="50"/>
    <n v="0.35"/>
    <n v="10"/>
    <s v="Wireless Mouse"/>
    <x v="0"/>
    <n v="10"/>
    <n v="200"/>
    <n v="17.5"/>
    <n v="40"/>
    <n v="150"/>
  </r>
  <r>
    <x v="74"/>
    <d v="2026-04-18T00:00:00"/>
    <s v="P001"/>
    <x v="2"/>
    <n v="1"/>
    <n v="50"/>
    <n v="0"/>
    <n v="15"/>
    <s v="Wireless Mouse"/>
    <x v="0"/>
    <n v="10"/>
    <n v="50"/>
    <n v="0"/>
    <n v="10"/>
    <n v="25"/>
  </r>
  <r>
    <x v="75"/>
    <d v="2026-07-28T00:00:00"/>
    <s v="P001"/>
    <x v="2"/>
    <n v="12"/>
    <n v="50"/>
    <n v="0.1"/>
    <n v="20"/>
    <s v="Wireless Mouse"/>
    <x v="0"/>
    <n v="10"/>
    <n v="600"/>
    <n v="5"/>
    <n v="120"/>
    <n v="460"/>
  </r>
  <r>
    <x v="76"/>
    <d v="2026-11-20T00:00:00"/>
    <s v="P001"/>
    <x v="1"/>
    <n v="4"/>
    <n v="50"/>
    <n v="0"/>
    <n v="15"/>
    <s v="Wireless Mouse"/>
    <x v="0"/>
    <n v="10"/>
    <n v="200"/>
    <n v="0"/>
    <n v="40"/>
    <n v="145"/>
  </r>
  <r>
    <x v="77"/>
    <d v="2026-01-24T00:00:00"/>
    <s v="P001"/>
    <x v="0"/>
    <n v="20"/>
    <n v="50"/>
    <n v="0.1"/>
    <n v="5"/>
    <s v="Wireless Mouse"/>
    <x v="0"/>
    <n v="10"/>
    <n v="1000"/>
    <n v="5"/>
    <n v="200"/>
    <n v="795"/>
  </r>
  <r>
    <x v="78"/>
    <d v="2026-09-23T00:00:00"/>
    <s v="P001"/>
    <x v="2"/>
    <n v="2"/>
    <n v="50"/>
    <n v="0.1"/>
    <n v="5"/>
    <s v="Wireless Mouse"/>
    <x v="0"/>
    <n v="10"/>
    <n v="100"/>
    <n v="5"/>
    <n v="20"/>
    <n v="75"/>
  </r>
  <r>
    <x v="79"/>
    <d v="2026-02-18T00:00:00"/>
    <s v="P001"/>
    <x v="2"/>
    <n v="9"/>
    <n v="50"/>
    <n v="0.2"/>
    <n v="10"/>
    <s v="Wireless Mouse"/>
    <x v="0"/>
    <n v="10"/>
    <n v="450"/>
    <n v="10"/>
    <n v="90"/>
    <n v="350"/>
  </r>
  <r>
    <x v="80"/>
    <d v="2026-08-14T00:00:00"/>
    <s v="P001"/>
    <x v="1"/>
    <n v="2"/>
    <n v="50"/>
    <n v="0.1"/>
    <n v="15"/>
    <s v="Wireless Mouse"/>
    <x v="0"/>
    <n v="10"/>
    <n v="100"/>
    <n v="5"/>
    <n v="20"/>
    <n v="65"/>
  </r>
  <r>
    <x v="81"/>
    <d v="2026-12-28T00:00:00"/>
    <s v="P001"/>
    <x v="2"/>
    <n v="13"/>
    <n v="50"/>
    <n v="0"/>
    <n v="10"/>
    <s v="Wireless Mouse"/>
    <x v="0"/>
    <n v="10"/>
    <n v="650"/>
    <n v="0"/>
    <n v="130"/>
    <n v="510"/>
  </r>
  <r>
    <x v="82"/>
    <d v="2026-01-02T00:00:00"/>
    <s v="P001"/>
    <x v="0"/>
    <n v="12"/>
    <n v="50"/>
    <n v="0.2"/>
    <n v="20"/>
    <s v="Wireless Mouse"/>
    <x v="0"/>
    <n v="10"/>
    <n v="600"/>
    <n v="10"/>
    <n v="120"/>
    <n v="460"/>
  </r>
  <r>
    <x v="83"/>
    <d v="2026-06-06T00:00:00"/>
    <s v="P001"/>
    <x v="1"/>
    <n v="22"/>
    <n v="50"/>
    <n v="0.1"/>
    <n v="20"/>
    <s v="Wireless Mouse"/>
    <x v="0"/>
    <n v="10"/>
    <n v="1100"/>
    <n v="5"/>
    <n v="220"/>
    <n v="860"/>
  </r>
  <r>
    <x v="84"/>
    <d v="2026-08-26T00:00:00"/>
    <s v="P001"/>
    <x v="2"/>
    <n v="8"/>
    <n v="50"/>
    <n v="0.35"/>
    <n v="5"/>
    <s v="Wireless Mouse"/>
    <x v="0"/>
    <n v="10"/>
    <n v="400"/>
    <n v="17.5"/>
    <n v="80"/>
    <n v="315"/>
  </r>
  <r>
    <x v="85"/>
    <d v="2026-10-28T00:00:00"/>
    <s v="P001"/>
    <x v="3"/>
    <n v="14"/>
    <n v="50"/>
    <n v="0.35"/>
    <n v="20"/>
    <s v="Wireless Mouse"/>
    <x v="0"/>
    <n v="10"/>
    <n v="700"/>
    <n v="17.5"/>
    <n v="140"/>
    <n v="540"/>
  </r>
  <r>
    <x v="86"/>
    <d v="2026-08-25T00:00:00"/>
    <s v="P001"/>
    <x v="2"/>
    <n v="14"/>
    <n v="50"/>
    <n v="0.1"/>
    <n v="20"/>
    <s v="Wireless Mouse"/>
    <x v="0"/>
    <n v="10"/>
    <n v="700"/>
    <n v="5"/>
    <n v="140"/>
    <n v="540"/>
  </r>
  <r>
    <x v="87"/>
    <d v="2026-05-14T00:00:00"/>
    <s v="P001"/>
    <x v="0"/>
    <n v="21"/>
    <n v="50"/>
    <n v="0.35"/>
    <n v="5"/>
    <s v="Wireless Mouse"/>
    <x v="0"/>
    <n v="10"/>
    <n v="1050"/>
    <n v="17.5"/>
    <n v="210"/>
    <n v="835"/>
  </r>
  <r>
    <x v="88"/>
    <d v="2026-09-08T00:00:00"/>
    <s v="P001"/>
    <x v="2"/>
    <n v="11"/>
    <n v="50"/>
    <n v="0.1"/>
    <n v="10"/>
    <s v="Wireless Mouse"/>
    <x v="0"/>
    <n v="10"/>
    <n v="550"/>
    <n v="5"/>
    <n v="110"/>
    <n v="430"/>
  </r>
  <r>
    <x v="89"/>
    <d v="2026-02-18T00:00:00"/>
    <s v="P001"/>
    <x v="0"/>
    <n v="2"/>
    <n v="50"/>
    <n v="0.2"/>
    <n v="20"/>
    <s v="Wireless Mouse"/>
    <x v="0"/>
    <n v="10"/>
    <n v="100"/>
    <n v="10"/>
    <n v="20"/>
    <n v="60"/>
  </r>
  <r>
    <x v="90"/>
    <d v="2026-02-20T00:00:00"/>
    <s v="P001"/>
    <x v="3"/>
    <n v="24"/>
    <n v="50"/>
    <n v="0.1"/>
    <n v="20"/>
    <s v="Wireless Mouse"/>
    <x v="0"/>
    <n v="10"/>
    <n v="1200"/>
    <n v="5"/>
    <n v="240"/>
    <n v="940"/>
  </r>
  <r>
    <x v="91"/>
    <d v="2026-09-11T00:00:00"/>
    <s v="P001"/>
    <x v="3"/>
    <n v="6"/>
    <n v="50"/>
    <n v="0"/>
    <n v="15"/>
    <s v="Wireless Mouse"/>
    <x v="0"/>
    <n v="10"/>
    <n v="300"/>
    <n v="0"/>
    <n v="60"/>
    <n v="225"/>
  </r>
  <r>
    <x v="92"/>
    <d v="2026-11-21T00:00:00"/>
    <s v="P001"/>
    <x v="1"/>
    <n v="14"/>
    <n v="50"/>
    <n v="0.1"/>
    <n v="20"/>
    <s v="Wireless Mouse"/>
    <x v="0"/>
    <n v="10"/>
    <n v="700"/>
    <n v="5"/>
    <n v="140"/>
    <n v="540"/>
  </r>
  <r>
    <x v="93"/>
    <d v="2026-08-09T00:00:00"/>
    <s v="P001"/>
    <x v="0"/>
    <n v="7"/>
    <n v="50"/>
    <n v="0.35"/>
    <n v="5"/>
    <s v="Wireless Mouse"/>
    <x v="0"/>
    <n v="10"/>
    <n v="350"/>
    <n v="17.5"/>
    <n v="70"/>
    <n v="275"/>
  </r>
  <r>
    <x v="94"/>
    <d v="2026-04-14T00:00:00"/>
    <s v="P001"/>
    <x v="2"/>
    <n v="25"/>
    <n v="50"/>
    <n v="0"/>
    <n v="15"/>
    <s v="Wireless Mouse"/>
    <x v="0"/>
    <n v="10"/>
    <n v="1250"/>
    <n v="0"/>
    <n v="250"/>
    <n v="985"/>
  </r>
  <r>
    <x v="95"/>
    <d v="2026-05-25T00:00:00"/>
    <s v="P001"/>
    <x v="2"/>
    <n v="17"/>
    <n v="50"/>
    <n v="0.2"/>
    <n v="15"/>
    <s v="Wireless Mouse"/>
    <x v="0"/>
    <n v="10"/>
    <n v="850"/>
    <n v="10"/>
    <n v="170"/>
    <n v="665"/>
  </r>
  <r>
    <x v="96"/>
    <d v="2026-04-11T00:00:00"/>
    <s v="P001"/>
    <x v="0"/>
    <n v="19"/>
    <n v="50"/>
    <n v="0.35"/>
    <n v="20"/>
    <s v="Wireless Mouse"/>
    <x v="0"/>
    <n v="10"/>
    <n v="950"/>
    <n v="17.5"/>
    <n v="190"/>
    <n v="740"/>
  </r>
  <r>
    <x v="97"/>
    <d v="2026-10-10T00:00:00"/>
    <s v="P001"/>
    <x v="0"/>
    <n v="18"/>
    <n v="50"/>
    <n v="0"/>
    <n v="15"/>
    <s v="Wireless Mouse"/>
    <x v="0"/>
    <n v="10"/>
    <n v="900"/>
    <n v="0"/>
    <n v="180"/>
    <n v="705"/>
  </r>
  <r>
    <x v="98"/>
    <d v="2026-12-09T00:00:00"/>
    <s v="P001"/>
    <x v="1"/>
    <n v="7"/>
    <n v="50"/>
    <n v="0"/>
    <n v="15"/>
    <s v="Wireless Mouse"/>
    <x v="0"/>
    <n v="10"/>
    <n v="350"/>
    <n v="0"/>
    <n v="70"/>
    <n v="265"/>
  </r>
  <r>
    <x v="99"/>
    <d v="2026-05-27T00:00:00"/>
    <s v="P001"/>
    <x v="3"/>
    <n v="10"/>
    <n v="50"/>
    <n v="0.1"/>
    <n v="10"/>
    <s v="Wireless Mouse"/>
    <x v="0"/>
    <n v="10"/>
    <n v="500"/>
    <n v="5"/>
    <n v="100"/>
    <n v="390"/>
  </r>
  <r>
    <x v="100"/>
    <d v="2026-06-25T00:00:00"/>
    <s v="P001"/>
    <x v="0"/>
    <n v="11"/>
    <n v="50"/>
    <n v="0.1"/>
    <n v="5"/>
    <s v="Wireless Mouse"/>
    <x v="0"/>
    <n v="10"/>
    <n v="550"/>
    <n v="5"/>
    <n v="110"/>
    <n v="435"/>
  </r>
  <r>
    <x v="101"/>
    <d v="2026-02-02T00:00:00"/>
    <s v="P001"/>
    <x v="0"/>
    <n v="10"/>
    <n v="50"/>
    <n v="0"/>
    <n v="5"/>
    <s v="Wireless Mouse"/>
    <x v="0"/>
    <n v="10"/>
    <n v="500"/>
    <n v="0"/>
    <n v="100"/>
    <n v="395"/>
  </r>
  <r>
    <x v="102"/>
    <d v="2026-08-29T00:00:00"/>
    <s v="P001"/>
    <x v="3"/>
    <n v="2"/>
    <n v="50"/>
    <n v="0"/>
    <n v="5"/>
    <s v="Wireless Mouse"/>
    <x v="0"/>
    <n v="10"/>
    <n v="100"/>
    <n v="0"/>
    <n v="20"/>
    <n v="75"/>
  </r>
  <r>
    <x v="103"/>
    <d v="2026-05-03T00:00:00"/>
    <s v="P001"/>
    <x v="3"/>
    <n v="5"/>
    <n v="50"/>
    <n v="0"/>
    <n v="10"/>
    <s v="Wireless Mouse"/>
    <x v="0"/>
    <n v="10"/>
    <n v="250"/>
    <n v="0"/>
    <n v="50"/>
    <n v="190"/>
  </r>
  <r>
    <x v="104"/>
    <d v="2026-06-08T00:00:00"/>
    <s v="P001"/>
    <x v="1"/>
    <n v="23"/>
    <n v="50"/>
    <n v="0"/>
    <n v="20"/>
    <s v="Wireless Mouse"/>
    <x v="0"/>
    <n v="10"/>
    <n v="1150"/>
    <n v="0"/>
    <n v="230"/>
    <n v="900"/>
  </r>
  <r>
    <x v="105"/>
    <d v="2026-06-15T00:00:00"/>
    <s v="P001"/>
    <x v="0"/>
    <n v="16"/>
    <n v="50"/>
    <n v="0"/>
    <n v="15"/>
    <s v="Wireless Mouse"/>
    <x v="0"/>
    <n v="10"/>
    <n v="800"/>
    <n v="0"/>
    <n v="160"/>
    <n v="625"/>
  </r>
  <r>
    <x v="106"/>
    <d v="2026-04-27T00:00:00"/>
    <s v="P001"/>
    <x v="2"/>
    <n v="25"/>
    <n v="50"/>
    <n v="0"/>
    <n v="5"/>
    <s v="Wireless Mouse"/>
    <x v="0"/>
    <n v="10"/>
    <n v="1250"/>
    <n v="0"/>
    <n v="250"/>
    <n v="995"/>
  </r>
  <r>
    <x v="107"/>
    <d v="2026-09-14T00:00:00"/>
    <s v="P001"/>
    <x v="2"/>
    <n v="6"/>
    <n v="50"/>
    <n v="0.1"/>
    <n v="5"/>
    <s v="Wireless Mouse"/>
    <x v="0"/>
    <n v="10"/>
    <n v="300"/>
    <n v="5"/>
    <n v="60"/>
    <n v="235"/>
  </r>
  <r>
    <x v="108"/>
    <d v="2026-09-23T00:00:00"/>
    <s v="P001"/>
    <x v="3"/>
    <n v="13"/>
    <n v="50"/>
    <n v="0.1"/>
    <n v="15"/>
    <s v="Wireless Mouse"/>
    <x v="0"/>
    <n v="10"/>
    <n v="650"/>
    <n v="5"/>
    <n v="130"/>
    <n v="505"/>
  </r>
  <r>
    <x v="109"/>
    <d v="2026-08-31T00:00:00"/>
    <s v="P001"/>
    <x v="1"/>
    <n v="23"/>
    <n v="50"/>
    <n v="0.35"/>
    <n v="5"/>
    <s v="Wireless Mouse"/>
    <x v="0"/>
    <n v="10"/>
    <n v="1150"/>
    <n v="17.5"/>
    <n v="230"/>
    <n v="915"/>
  </r>
  <r>
    <x v="110"/>
    <d v="2026-12-22T00:00:00"/>
    <s v="P001"/>
    <x v="0"/>
    <n v="4"/>
    <n v="50"/>
    <n v="0.2"/>
    <n v="5"/>
    <s v="Wireless Mouse"/>
    <x v="0"/>
    <n v="10"/>
    <n v="200"/>
    <n v="10"/>
    <n v="40"/>
    <n v="155"/>
  </r>
  <r>
    <x v="111"/>
    <d v="2026-10-02T00:00:00"/>
    <s v="P001"/>
    <x v="1"/>
    <n v="25"/>
    <n v="50"/>
    <n v="0.35"/>
    <n v="10"/>
    <s v="Wireless Mouse"/>
    <x v="0"/>
    <n v="10"/>
    <n v="1250"/>
    <n v="17.5"/>
    <n v="250"/>
    <n v="990"/>
  </r>
  <r>
    <x v="112"/>
    <d v="2026-02-22T00:00:00"/>
    <s v="P001"/>
    <x v="3"/>
    <n v="21"/>
    <n v="50"/>
    <n v="0.2"/>
    <n v="10"/>
    <s v="Wireless Mouse"/>
    <x v="0"/>
    <n v="10"/>
    <n v="1050"/>
    <n v="10"/>
    <n v="210"/>
    <n v="830"/>
  </r>
  <r>
    <x v="113"/>
    <d v="2026-09-13T00:00:00"/>
    <s v="P001"/>
    <x v="2"/>
    <n v="1"/>
    <n v="50"/>
    <n v="0"/>
    <n v="20"/>
    <s v="Wireless Mouse"/>
    <x v="0"/>
    <n v="10"/>
    <n v="50"/>
    <n v="0"/>
    <n v="10"/>
    <n v="20"/>
  </r>
  <r>
    <x v="114"/>
    <d v="2026-11-08T00:00:00"/>
    <s v="P001"/>
    <x v="0"/>
    <n v="3"/>
    <n v="50"/>
    <n v="0.35"/>
    <n v="10"/>
    <s v="Wireless Mouse"/>
    <x v="0"/>
    <n v="10"/>
    <n v="150"/>
    <n v="17.5"/>
    <n v="30"/>
    <n v="110"/>
  </r>
  <r>
    <x v="115"/>
    <d v="2026-04-18T00:00:00"/>
    <s v="P001"/>
    <x v="3"/>
    <n v="8"/>
    <n v="50"/>
    <n v="0.1"/>
    <n v="5"/>
    <s v="Wireless Mouse"/>
    <x v="0"/>
    <n v="10"/>
    <n v="400"/>
    <n v="5"/>
    <n v="80"/>
    <n v="315"/>
  </r>
  <r>
    <x v="116"/>
    <d v="2026-09-26T00:00:00"/>
    <s v="P001"/>
    <x v="1"/>
    <n v="19"/>
    <n v="50"/>
    <n v="0.1"/>
    <n v="10"/>
    <s v="Wireless Mouse"/>
    <x v="0"/>
    <n v="10"/>
    <n v="950"/>
    <n v="5"/>
    <n v="190"/>
    <n v="750"/>
  </r>
  <r>
    <x v="117"/>
    <d v="2026-07-15T00:00:00"/>
    <s v="P001"/>
    <x v="0"/>
    <n v="12"/>
    <n v="50"/>
    <n v="0.35"/>
    <n v="10"/>
    <s v="Wireless Mouse"/>
    <x v="0"/>
    <n v="10"/>
    <n v="600"/>
    <n v="17.5"/>
    <n v="120"/>
    <n v="470"/>
  </r>
  <r>
    <x v="118"/>
    <d v="2026-05-28T00:00:00"/>
    <s v="P001"/>
    <x v="2"/>
    <n v="25"/>
    <n v="50"/>
    <n v="0.1"/>
    <n v="10"/>
    <s v="Wireless Mouse"/>
    <x v="0"/>
    <n v="10"/>
    <n v="1250"/>
    <n v="5"/>
    <n v="250"/>
    <n v="990"/>
  </r>
  <r>
    <x v="119"/>
    <d v="2026-12-05T00:00:00"/>
    <s v="P001"/>
    <x v="0"/>
    <n v="24"/>
    <n v="50"/>
    <n v="0.2"/>
    <n v="10"/>
    <s v="Wireless Mouse"/>
    <x v="0"/>
    <n v="10"/>
    <n v="1200"/>
    <n v="10"/>
    <n v="240"/>
    <n v="950"/>
  </r>
  <r>
    <x v="120"/>
    <d v="2026-01-01T00:00:00"/>
    <s v="P001"/>
    <x v="1"/>
    <n v="1"/>
    <n v="50"/>
    <n v="0"/>
    <n v="15"/>
    <s v="Wireless Mouse"/>
    <x v="0"/>
    <n v="10"/>
    <n v="50"/>
    <n v="0"/>
    <n v="10"/>
    <n v="25"/>
  </r>
  <r>
    <x v="121"/>
    <d v="2026-09-18T00:00:00"/>
    <s v="P001"/>
    <x v="0"/>
    <n v="23"/>
    <n v="50"/>
    <n v="0.2"/>
    <n v="5"/>
    <s v="Wireless Mouse"/>
    <x v="0"/>
    <n v="10"/>
    <n v="1150"/>
    <n v="10"/>
    <n v="230"/>
    <n v="915"/>
  </r>
  <r>
    <x v="122"/>
    <d v="2026-07-03T00:00:00"/>
    <s v="P001"/>
    <x v="0"/>
    <n v="21"/>
    <n v="50"/>
    <n v="0.2"/>
    <n v="20"/>
    <s v="Wireless Mouse"/>
    <x v="0"/>
    <n v="10"/>
    <n v="1050"/>
    <n v="10"/>
    <n v="210"/>
    <n v="820"/>
  </r>
  <r>
    <x v="123"/>
    <d v="2026-11-19T00:00:00"/>
    <s v="P001"/>
    <x v="1"/>
    <n v="10"/>
    <n v="50"/>
    <n v="0.1"/>
    <n v="5"/>
    <s v="Wireless Mouse"/>
    <x v="0"/>
    <n v="10"/>
    <n v="500"/>
    <n v="5"/>
    <n v="100"/>
    <n v="395"/>
  </r>
  <r>
    <x v="124"/>
    <d v="2026-03-13T00:00:00"/>
    <s v="P001"/>
    <x v="0"/>
    <n v="16"/>
    <n v="50"/>
    <n v="0.2"/>
    <n v="5"/>
    <s v="Wireless Mouse"/>
    <x v="0"/>
    <n v="10"/>
    <n v="800"/>
    <n v="10"/>
    <n v="160"/>
    <n v="635"/>
  </r>
  <r>
    <x v="125"/>
    <d v="2026-12-17T00:00:00"/>
    <s v="P001"/>
    <x v="0"/>
    <n v="23"/>
    <n v="50"/>
    <n v="0.35"/>
    <n v="5"/>
    <s v="Wireless Mouse"/>
    <x v="0"/>
    <n v="10"/>
    <n v="1150"/>
    <n v="17.5"/>
    <n v="230"/>
    <n v="915"/>
  </r>
  <r>
    <x v="126"/>
    <d v="2026-07-09T00:00:00"/>
    <s v="P001"/>
    <x v="2"/>
    <n v="2"/>
    <n v="50"/>
    <n v="0.1"/>
    <n v="10"/>
    <s v="Wireless Mouse"/>
    <x v="0"/>
    <n v="10"/>
    <n v="100"/>
    <n v="5"/>
    <n v="20"/>
    <n v="70"/>
  </r>
  <r>
    <x v="127"/>
    <d v="2026-09-23T00:00:00"/>
    <s v="P001"/>
    <x v="2"/>
    <n v="21"/>
    <n v="50"/>
    <n v="0"/>
    <n v="10"/>
    <s v="Wireless Mouse"/>
    <x v="0"/>
    <n v="10"/>
    <n v="1050"/>
    <n v="0"/>
    <n v="210"/>
    <n v="830"/>
  </r>
  <r>
    <x v="128"/>
    <d v="2026-05-11T00:00:00"/>
    <s v="P001"/>
    <x v="3"/>
    <n v="6"/>
    <n v="50"/>
    <n v="0.35"/>
    <n v="5"/>
    <s v="Wireless Mouse"/>
    <x v="0"/>
    <n v="10"/>
    <n v="300"/>
    <n v="17.5"/>
    <n v="60"/>
    <n v="235"/>
  </r>
  <r>
    <x v="129"/>
    <d v="2026-12-18T00:00:00"/>
    <s v="P001"/>
    <x v="2"/>
    <n v="3"/>
    <n v="50"/>
    <n v="0.1"/>
    <n v="15"/>
    <s v="Wireless Mouse"/>
    <x v="0"/>
    <n v="10"/>
    <n v="150"/>
    <n v="5"/>
    <n v="30"/>
    <n v="105"/>
  </r>
  <r>
    <x v="130"/>
    <d v="2026-09-26T00:00:00"/>
    <s v="P001"/>
    <x v="3"/>
    <n v="13"/>
    <n v="50"/>
    <n v="0"/>
    <n v="10"/>
    <s v="Wireless Mouse"/>
    <x v="0"/>
    <n v="10"/>
    <n v="650"/>
    <n v="0"/>
    <n v="130"/>
    <n v="510"/>
  </r>
  <r>
    <x v="131"/>
    <d v="2026-01-13T00:00:00"/>
    <s v="P001"/>
    <x v="2"/>
    <n v="1"/>
    <n v="50"/>
    <n v="0.35"/>
    <n v="10"/>
    <s v="Wireless Mouse"/>
    <x v="0"/>
    <n v="10"/>
    <n v="50"/>
    <n v="17.5"/>
    <n v="10"/>
    <n v="30"/>
  </r>
  <r>
    <x v="132"/>
    <d v="2026-11-28T00:00:00"/>
    <s v="P001"/>
    <x v="2"/>
    <n v="4"/>
    <n v="50"/>
    <n v="0.1"/>
    <n v="20"/>
    <s v="Wireless Mouse"/>
    <x v="0"/>
    <n v="10"/>
    <n v="200"/>
    <n v="5"/>
    <n v="40"/>
    <n v="140"/>
  </r>
  <r>
    <x v="133"/>
    <d v="2026-10-27T00:00:00"/>
    <s v="P001"/>
    <x v="2"/>
    <n v="16"/>
    <n v="50"/>
    <n v="0.1"/>
    <n v="5"/>
    <s v="Wireless Mouse"/>
    <x v="0"/>
    <n v="10"/>
    <n v="800"/>
    <n v="5"/>
    <n v="160"/>
    <n v="635"/>
  </r>
  <r>
    <x v="134"/>
    <d v="2026-12-12T00:00:00"/>
    <s v="P001"/>
    <x v="3"/>
    <n v="21"/>
    <n v="50"/>
    <n v="0.35"/>
    <n v="10"/>
    <s v="Wireless Mouse"/>
    <x v="0"/>
    <n v="10"/>
    <n v="1050"/>
    <n v="17.5"/>
    <n v="210"/>
    <n v="830"/>
  </r>
  <r>
    <x v="135"/>
    <d v="2026-03-17T00:00:00"/>
    <s v="P001"/>
    <x v="2"/>
    <n v="22"/>
    <n v="50"/>
    <n v="0"/>
    <n v="5"/>
    <s v="Wireless Mouse"/>
    <x v="0"/>
    <n v="10"/>
    <n v="1100"/>
    <n v="0"/>
    <n v="220"/>
    <n v="875"/>
  </r>
  <r>
    <x v="136"/>
    <d v="2026-02-28T00:00:00"/>
    <s v="P001"/>
    <x v="3"/>
    <n v="19"/>
    <n v="50"/>
    <n v="0.2"/>
    <n v="20"/>
    <s v="Wireless Mouse"/>
    <x v="0"/>
    <n v="10"/>
    <n v="950"/>
    <n v="10"/>
    <n v="190"/>
    <n v="740"/>
  </r>
  <r>
    <x v="137"/>
    <d v="2026-10-31T00:00:00"/>
    <s v="P001"/>
    <x v="3"/>
    <n v="8"/>
    <n v="50"/>
    <n v="0.1"/>
    <n v="15"/>
    <s v="Wireless Mouse"/>
    <x v="0"/>
    <n v="10"/>
    <n v="400"/>
    <n v="5"/>
    <n v="80"/>
    <n v="305"/>
  </r>
  <r>
    <x v="138"/>
    <d v="2026-08-25T00:00:00"/>
    <s v="P001"/>
    <x v="0"/>
    <n v="22"/>
    <n v="50"/>
    <n v="0"/>
    <n v="15"/>
    <s v="Wireless Mouse"/>
    <x v="0"/>
    <n v="10"/>
    <n v="1100"/>
    <n v="0"/>
    <n v="220"/>
    <n v="865"/>
  </r>
  <r>
    <x v="139"/>
    <d v="2026-11-19T00:00:00"/>
    <s v="P001"/>
    <x v="3"/>
    <n v="22"/>
    <n v="50"/>
    <n v="0.1"/>
    <n v="10"/>
    <s v="Wireless Mouse"/>
    <x v="0"/>
    <n v="10"/>
    <n v="1100"/>
    <n v="5"/>
    <n v="220"/>
    <n v="870"/>
  </r>
  <r>
    <x v="140"/>
    <d v="2026-01-31T00:00:00"/>
    <s v="P001"/>
    <x v="0"/>
    <n v="3"/>
    <n v="50"/>
    <n v="0.35"/>
    <n v="5"/>
    <s v="Wireless Mouse"/>
    <x v="0"/>
    <n v="10"/>
    <n v="150"/>
    <n v="17.5"/>
    <n v="30"/>
    <n v="115"/>
  </r>
  <r>
    <x v="141"/>
    <d v="2026-10-13T00:00:00"/>
    <s v="P001"/>
    <x v="0"/>
    <n v="19"/>
    <n v="50"/>
    <n v="0.2"/>
    <n v="5"/>
    <s v="Wireless Mouse"/>
    <x v="0"/>
    <n v="10"/>
    <n v="950"/>
    <n v="10"/>
    <n v="190"/>
    <n v="755"/>
  </r>
  <r>
    <x v="142"/>
    <d v="2026-08-12T00:00:00"/>
    <s v="P001"/>
    <x v="3"/>
    <n v="23"/>
    <n v="50"/>
    <n v="0.35"/>
    <n v="15"/>
    <s v="Wireless Mouse"/>
    <x v="0"/>
    <n v="10"/>
    <n v="1150"/>
    <n v="17.5"/>
    <n v="230"/>
    <n v="905"/>
  </r>
  <r>
    <x v="143"/>
    <d v="2026-10-07T00:00:00"/>
    <s v="P001"/>
    <x v="1"/>
    <n v="5"/>
    <n v="50"/>
    <n v="0"/>
    <n v="15"/>
    <s v="Wireless Mouse"/>
    <x v="0"/>
    <n v="10"/>
    <n v="250"/>
    <n v="0"/>
    <n v="50"/>
    <n v="185"/>
  </r>
  <r>
    <x v="144"/>
    <d v="2026-04-27T00:00:00"/>
    <s v="P001"/>
    <x v="3"/>
    <n v="20"/>
    <n v="50"/>
    <n v="0.1"/>
    <n v="20"/>
    <s v="Wireless Mouse"/>
    <x v="0"/>
    <n v="10"/>
    <n v="1000"/>
    <n v="5"/>
    <n v="200"/>
    <n v="780"/>
  </r>
  <r>
    <x v="145"/>
    <d v="2026-11-30T00:00:00"/>
    <s v="P001"/>
    <x v="2"/>
    <n v="21"/>
    <n v="50"/>
    <n v="0.35"/>
    <n v="10"/>
    <s v="Wireless Mouse"/>
    <x v="0"/>
    <n v="10"/>
    <n v="1050"/>
    <n v="17.5"/>
    <n v="210"/>
    <n v="830"/>
  </r>
  <r>
    <x v="146"/>
    <d v="2026-12-28T00:00:00"/>
    <s v="P001"/>
    <x v="2"/>
    <n v="11"/>
    <n v="50"/>
    <n v="0.1"/>
    <n v="20"/>
    <s v="Wireless Mouse"/>
    <x v="0"/>
    <n v="10"/>
    <n v="550"/>
    <n v="5"/>
    <n v="110"/>
    <n v="420"/>
  </r>
  <r>
    <x v="147"/>
    <d v="2026-05-26T00:00:00"/>
    <s v="P001"/>
    <x v="0"/>
    <n v="24"/>
    <n v="50"/>
    <n v="0.2"/>
    <n v="20"/>
    <s v="Wireless Mouse"/>
    <x v="0"/>
    <n v="10"/>
    <n v="1200"/>
    <n v="10"/>
    <n v="240"/>
    <n v="940"/>
  </r>
  <r>
    <x v="148"/>
    <d v="2026-11-18T00:00:00"/>
    <s v="P001"/>
    <x v="2"/>
    <n v="5"/>
    <n v="50"/>
    <n v="0.1"/>
    <n v="20"/>
    <s v="Wireless Mouse"/>
    <x v="0"/>
    <n v="10"/>
    <n v="250"/>
    <n v="5"/>
    <n v="50"/>
    <n v="180"/>
  </r>
  <r>
    <x v="149"/>
    <d v="2026-10-31T00:00:00"/>
    <s v="P001"/>
    <x v="1"/>
    <n v="13"/>
    <n v="50"/>
    <n v="0"/>
    <n v="20"/>
    <s v="Wireless Mouse"/>
    <x v="0"/>
    <n v="10"/>
    <n v="650"/>
    <n v="0"/>
    <n v="130"/>
    <n v="500"/>
  </r>
  <r>
    <x v="150"/>
    <d v="2026-11-10T00:00:00"/>
    <s v="P001"/>
    <x v="0"/>
    <n v="19"/>
    <n v="50"/>
    <n v="0.2"/>
    <n v="20"/>
    <s v="Wireless Mouse"/>
    <x v="0"/>
    <n v="10"/>
    <n v="950"/>
    <n v="10"/>
    <n v="190"/>
    <n v="740"/>
  </r>
  <r>
    <x v="151"/>
    <d v="2026-08-15T00:00:00"/>
    <s v="P001"/>
    <x v="2"/>
    <n v="18"/>
    <n v="50"/>
    <n v="0.35"/>
    <n v="20"/>
    <s v="Wireless Mouse"/>
    <x v="0"/>
    <n v="10"/>
    <n v="900"/>
    <n v="17.5"/>
    <n v="180"/>
    <n v="700"/>
  </r>
  <r>
    <x v="152"/>
    <d v="2026-07-14T00:00:00"/>
    <s v="P001"/>
    <x v="0"/>
    <n v="20"/>
    <n v="50"/>
    <n v="0.35"/>
    <n v="5"/>
    <s v="Wireless Mouse"/>
    <x v="0"/>
    <n v="10"/>
    <n v="1000"/>
    <n v="17.5"/>
    <n v="200"/>
    <n v="795"/>
  </r>
  <r>
    <x v="153"/>
    <d v="2026-07-18T00:00:00"/>
    <s v="P001"/>
    <x v="2"/>
    <n v="19"/>
    <n v="50"/>
    <n v="0.2"/>
    <n v="15"/>
    <s v="Wireless Mouse"/>
    <x v="0"/>
    <n v="10"/>
    <n v="950"/>
    <n v="10"/>
    <n v="190"/>
    <n v="745"/>
  </r>
  <r>
    <x v="154"/>
    <d v="2026-05-07T00:00:00"/>
    <s v="P001"/>
    <x v="0"/>
    <n v="24"/>
    <n v="50"/>
    <n v="0.35"/>
    <n v="15"/>
    <s v="Wireless Mouse"/>
    <x v="0"/>
    <n v="10"/>
    <n v="1200"/>
    <n v="17.5"/>
    <n v="240"/>
    <n v="945"/>
  </r>
  <r>
    <x v="155"/>
    <d v="2026-07-27T00:00:00"/>
    <s v="P001"/>
    <x v="1"/>
    <n v="7"/>
    <n v="50"/>
    <n v="0.1"/>
    <n v="5"/>
    <s v="Wireless Mouse"/>
    <x v="0"/>
    <n v="10"/>
    <n v="350"/>
    <n v="5"/>
    <n v="70"/>
    <n v="275"/>
  </r>
  <r>
    <x v="156"/>
    <d v="2026-05-08T00:00:00"/>
    <s v="P001"/>
    <x v="1"/>
    <n v="6"/>
    <n v="50"/>
    <n v="0.35"/>
    <n v="15"/>
    <s v="Wireless Mouse"/>
    <x v="0"/>
    <n v="10"/>
    <n v="300"/>
    <n v="17.5"/>
    <n v="60"/>
    <n v="225"/>
  </r>
  <r>
    <x v="157"/>
    <d v="2026-12-30T00:00:00"/>
    <s v="P001"/>
    <x v="3"/>
    <n v="8"/>
    <n v="50"/>
    <n v="0.35"/>
    <n v="5"/>
    <s v="Wireless Mouse"/>
    <x v="0"/>
    <n v="10"/>
    <n v="400"/>
    <n v="17.5"/>
    <n v="80"/>
    <n v="315"/>
  </r>
  <r>
    <x v="158"/>
    <d v="2026-09-27T00:00:00"/>
    <s v="P001"/>
    <x v="2"/>
    <n v="21"/>
    <n v="50"/>
    <n v="0.1"/>
    <n v="20"/>
    <s v="Wireless Mouse"/>
    <x v="0"/>
    <n v="10"/>
    <n v="1050"/>
    <n v="5"/>
    <n v="210"/>
    <n v="820"/>
  </r>
  <r>
    <x v="159"/>
    <d v="2026-07-25T00:00:00"/>
    <s v="P001"/>
    <x v="0"/>
    <n v="5"/>
    <n v="50"/>
    <n v="0.2"/>
    <n v="15"/>
    <s v="Wireless Mouse"/>
    <x v="0"/>
    <n v="10"/>
    <n v="250"/>
    <n v="10"/>
    <n v="50"/>
    <n v="185"/>
  </r>
  <r>
    <x v="160"/>
    <d v="2026-02-10T00:00:00"/>
    <s v="P001"/>
    <x v="2"/>
    <n v="4"/>
    <n v="50"/>
    <n v="0.1"/>
    <n v="20"/>
    <s v="Wireless Mouse"/>
    <x v="0"/>
    <n v="10"/>
    <n v="200"/>
    <n v="5"/>
    <n v="40"/>
    <n v="140"/>
  </r>
  <r>
    <x v="161"/>
    <d v="2026-10-30T00:00:00"/>
    <s v="P001"/>
    <x v="1"/>
    <n v="13"/>
    <n v="50"/>
    <n v="0.1"/>
    <n v="5"/>
    <s v="Wireless Mouse"/>
    <x v="0"/>
    <n v="10"/>
    <n v="650"/>
    <n v="5"/>
    <n v="130"/>
    <n v="515"/>
  </r>
  <r>
    <x v="162"/>
    <d v="2026-12-14T00:00:00"/>
    <s v="P001"/>
    <x v="0"/>
    <n v="2"/>
    <n v="50"/>
    <n v="0.35"/>
    <n v="20"/>
    <s v="Wireless Mouse"/>
    <x v="0"/>
    <n v="10"/>
    <n v="100"/>
    <n v="17.5"/>
    <n v="20"/>
    <n v="60"/>
  </r>
  <r>
    <x v="163"/>
    <d v="2026-02-25T00:00:00"/>
    <s v="P001"/>
    <x v="0"/>
    <n v="3"/>
    <n v="50"/>
    <n v="0"/>
    <n v="20"/>
    <s v="Wireless Mouse"/>
    <x v="0"/>
    <n v="10"/>
    <n v="150"/>
    <n v="0"/>
    <n v="30"/>
    <n v="100"/>
  </r>
  <r>
    <x v="164"/>
    <d v="2026-06-04T00:00:00"/>
    <s v="P001"/>
    <x v="2"/>
    <n v="8"/>
    <n v="50"/>
    <n v="0"/>
    <n v="10"/>
    <s v="Wireless Mouse"/>
    <x v="0"/>
    <n v="10"/>
    <n v="400"/>
    <n v="0"/>
    <n v="80"/>
    <n v="310"/>
  </r>
  <r>
    <x v="165"/>
    <d v="2026-03-07T00:00:00"/>
    <s v="P001"/>
    <x v="1"/>
    <n v="21"/>
    <n v="50"/>
    <n v="0.1"/>
    <n v="15"/>
    <s v="Wireless Mouse"/>
    <x v="0"/>
    <n v="10"/>
    <n v="1050"/>
    <n v="5"/>
    <n v="210"/>
    <n v="825"/>
  </r>
  <r>
    <x v="166"/>
    <d v="2026-02-09T00:00:00"/>
    <s v="P001"/>
    <x v="1"/>
    <n v="4"/>
    <n v="50"/>
    <n v="0.1"/>
    <n v="20"/>
    <s v="Wireless Mouse"/>
    <x v="0"/>
    <n v="10"/>
    <n v="200"/>
    <n v="5"/>
    <n v="40"/>
    <n v="140"/>
  </r>
  <r>
    <x v="167"/>
    <d v="2026-07-10T00:00:00"/>
    <s v="P001"/>
    <x v="0"/>
    <n v="9"/>
    <n v="50"/>
    <n v="0.1"/>
    <n v="10"/>
    <s v="Wireless Mouse"/>
    <x v="0"/>
    <n v="10"/>
    <n v="450"/>
    <n v="5"/>
    <n v="90"/>
    <n v="350"/>
  </r>
  <r>
    <x v="168"/>
    <d v="2026-01-25T00:00:00"/>
    <s v="P001"/>
    <x v="0"/>
    <n v="21"/>
    <n v="50"/>
    <n v="0.35"/>
    <n v="5"/>
    <s v="Wireless Mouse"/>
    <x v="0"/>
    <n v="10"/>
    <n v="1050"/>
    <n v="17.5"/>
    <n v="210"/>
    <n v="835"/>
  </r>
  <r>
    <x v="169"/>
    <d v="2026-05-18T00:00:00"/>
    <s v="P001"/>
    <x v="3"/>
    <n v="13"/>
    <n v="50"/>
    <n v="0.2"/>
    <n v="10"/>
    <s v="Wireless Mouse"/>
    <x v="0"/>
    <n v="10"/>
    <n v="650"/>
    <n v="10"/>
    <n v="130"/>
    <n v="510"/>
  </r>
  <r>
    <x v="170"/>
    <d v="2026-03-13T00:00:00"/>
    <s v="P001"/>
    <x v="2"/>
    <n v="21"/>
    <n v="50"/>
    <n v="0.2"/>
    <n v="15"/>
    <s v="Wireless Mouse"/>
    <x v="0"/>
    <n v="10"/>
    <n v="1050"/>
    <n v="10"/>
    <n v="210"/>
    <n v="825"/>
  </r>
  <r>
    <x v="171"/>
    <d v="2026-01-20T00:00:00"/>
    <s v="P001"/>
    <x v="1"/>
    <n v="15"/>
    <n v="50"/>
    <n v="0.2"/>
    <n v="5"/>
    <s v="Wireless Mouse"/>
    <x v="0"/>
    <n v="10"/>
    <n v="750"/>
    <n v="10"/>
    <n v="150"/>
    <n v="595"/>
  </r>
  <r>
    <x v="172"/>
    <d v="2026-05-22T00:00:00"/>
    <s v="P001"/>
    <x v="2"/>
    <n v="24"/>
    <n v="50"/>
    <n v="0.35"/>
    <n v="5"/>
    <s v="Wireless Mouse"/>
    <x v="0"/>
    <n v="10"/>
    <n v="1200"/>
    <n v="17.5"/>
    <n v="240"/>
    <n v="955"/>
  </r>
  <r>
    <x v="173"/>
    <d v="2026-07-04T00:00:00"/>
    <s v="P001"/>
    <x v="0"/>
    <n v="4"/>
    <n v="50"/>
    <n v="0.1"/>
    <n v="10"/>
    <s v="Wireless Mouse"/>
    <x v="0"/>
    <n v="10"/>
    <n v="200"/>
    <n v="5"/>
    <n v="40"/>
    <n v="150"/>
  </r>
  <r>
    <x v="174"/>
    <d v="2026-05-03T00:00:00"/>
    <s v="P001"/>
    <x v="0"/>
    <n v="23"/>
    <n v="50"/>
    <n v="0.35"/>
    <n v="15"/>
    <s v="Wireless Mouse"/>
    <x v="0"/>
    <n v="10"/>
    <n v="1150"/>
    <n v="17.5"/>
    <n v="230"/>
    <n v="905"/>
  </r>
  <r>
    <x v="175"/>
    <d v="2026-07-22T00:00:00"/>
    <s v="P001"/>
    <x v="2"/>
    <n v="6"/>
    <n v="50"/>
    <n v="0"/>
    <n v="15"/>
    <s v="Wireless Mouse"/>
    <x v="0"/>
    <n v="10"/>
    <n v="300"/>
    <n v="0"/>
    <n v="60"/>
    <n v="225"/>
  </r>
  <r>
    <x v="176"/>
    <d v="2026-05-23T00:00:00"/>
    <s v="P001"/>
    <x v="3"/>
    <n v="6"/>
    <n v="50"/>
    <n v="0"/>
    <n v="20"/>
    <s v="Wireless Mouse"/>
    <x v="0"/>
    <n v="10"/>
    <n v="300"/>
    <n v="0"/>
    <n v="60"/>
    <n v="220"/>
  </r>
  <r>
    <x v="177"/>
    <d v="2026-05-12T00:00:00"/>
    <s v="P001"/>
    <x v="3"/>
    <n v="8"/>
    <n v="50"/>
    <n v="0.1"/>
    <n v="5"/>
    <s v="Wireless Mouse"/>
    <x v="0"/>
    <n v="10"/>
    <n v="400"/>
    <n v="5"/>
    <n v="80"/>
    <n v="315"/>
  </r>
  <r>
    <x v="178"/>
    <d v="2026-05-19T00:00:00"/>
    <s v="P001"/>
    <x v="2"/>
    <n v="15"/>
    <n v="50"/>
    <n v="0.2"/>
    <n v="5"/>
    <s v="Wireless Mouse"/>
    <x v="0"/>
    <n v="10"/>
    <n v="750"/>
    <n v="10"/>
    <n v="150"/>
    <n v="595"/>
  </r>
  <r>
    <x v="179"/>
    <d v="2026-07-04T00:00:00"/>
    <s v="P001"/>
    <x v="1"/>
    <n v="9"/>
    <n v="50"/>
    <n v="0"/>
    <n v="20"/>
    <s v="Wireless Mouse"/>
    <x v="0"/>
    <n v="10"/>
    <n v="450"/>
    <n v="0"/>
    <n v="90"/>
    <n v="340"/>
  </r>
  <r>
    <x v="180"/>
    <d v="2026-05-26T00:00:00"/>
    <s v="P001"/>
    <x v="2"/>
    <n v="19"/>
    <n v="50"/>
    <n v="0.35"/>
    <n v="20"/>
    <s v="Wireless Mouse"/>
    <x v="0"/>
    <n v="10"/>
    <n v="950"/>
    <n v="17.5"/>
    <n v="190"/>
    <n v="740"/>
  </r>
  <r>
    <x v="181"/>
    <d v="2026-01-13T00:00:00"/>
    <s v="P001"/>
    <x v="2"/>
    <n v="8"/>
    <n v="50"/>
    <n v="0.2"/>
    <n v="10"/>
    <s v="Wireless Mouse"/>
    <x v="0"/>
    <n v="10"/>
    <n v="400"/>
    <n v="10"/>
    <n v="80"/>
    <n v="310"/>
  </r>
  <r>
    <x v="182"/>
    <d v="2026-05-21T00:00:00"/>
    <s v="P001"/>
    <x v="1"/>
    <n v="23"/>
    <n v="50"/>
    <n v="0"/>
    <n v="20"/>
    <s v="Wireless Mouse"/>
    <x v="0"/>
    <n v="10"/>
    <n v="1150"/>
    <n v="0"/>
    <n v="230"/>
    <n v="900"/>
  </r>
  <r>
    <x v="183"/>
    <d v="2026-01-10T00:00:00"/>
    <s v="P001"/>
    <x v="2"/>
    <n v="1"/>
    <n v="50"/>
    <n v="0.35"/>
    <n v="10"/>
    <s v="Wireless Mouse"/>
    <x v="0"/>
    <n v="10"/>
    <n v="50"/>
    <n v="17.5"/>
    <n v="10"/>
    <n v="30"/>
  </r>
  <r>
    <x v="184"/>
    <d v="2026-09-24T00:00:00"/>
    <s v="P001"/>
    <x v="2"/>
    <n v="19"/>
    <n v="50"/>
    <n v="0.35"/>
    <n v="15"/>
    <s v="Wireless Mouse"/>
    <x v="0"/>
    <n v="10"/>
    <n v="950"/>
    <n v="17.5"/>
    <n v="190"/>
    <n v="745"/>
  </r>
  <r>
    <x v="185"/>
    <d v="2026-08-17T00:00:00"/>
    <s v="P001"/>
    <x v="3"/>
    <n v="16"/>
    <n v="50"/>
    <n v="0.1"/>
    <n v="15"/>
    <s v="Wireless Mouse"/>
    <x v="0"/>
    <n v="10"/>
    <n v="800"/>
    <n v="5"/>
    <n v="160"/>
    <n v="625"/>
  </r>
  <r>
    <x v="186"/>
    <d v="2026-08-14T00:00:00"/>
    <s v="P001"/>
    <x v="1"/>
    <n v="19"/>
    <n v="50"/>
    <n v="0.2"/>
    <n v="10"/>
    <s v="Wireless Mouse"/>
    <x v="0"/>
    <n v="10"/>
    <n v="950"/>
    <n v="10"/>
    <n v="190"/>
    <n v="750"/>
  </r>
  <r>
    <x v="187"/>
    <d v="2026-05-17T00:00:00"/>
    <s v="P001"/>
    <x v="3"/>
    <n v="23"/>
    <n v="50"/>
    <n v="0.1"/>
    <n v="5"/>
    <s v="Wireless Mouse"/>
    <x v="0"/>
    <n v="10"/>
    <n v="1150"/>
    <n v="5"/>
    <n v="230"/>
    <n v="915"/>
  </r>
  <r>
    <x v="188"/>
    <d v="2026-11-17T00:00:00"/>
    <s v="P001"/>
    <x v="2"/>
    <n v="3"/>
    <n v="50"/>
    <n v="0.2"/>
    <n v="5"/>
    <s v="Wireless Mouse"/>
    <x v="0"/>
    <n v="10"/>
    <n v="150"/>
    <n v="10"/>
    <n v="30"/>
    <n v="115"/>
  </r>
  <r>
    <x v="189"/>
    <d v="2026-06-21T00:00:00"/>
    <s v="P001"/>
    <x v="1"/>
    <n v="8"/>
    <n v="50"/>
    <n v="0"/>
    <n v="10"/>
    <s v="Wireless Mouse"/>
    <x v="0"/>
    <n v="10"/>
    <n v="400"/>
    <n v="0"/>
    <n v="80"/>
    <n v="310"/>
  </r>
  <r>
    <x v="190"/>
    <d v="2026-10-13T00:00:00"/>
    <s v="P001"/>
    <x v="3"/>
    <n v="11"/>
    <n v="50"/>
    <n v="0.1"/>
    <n v="10"/>
    <s v="Wireless Mouse"/>
    <x v="0"/>
    <n v="10"/>
    <n v="550"/>
    <n v="5"/>
    <n v="110"/>
    <n v="430"/>
  </r>
  <r>
    <x v="191"/>
    <d v="2026-10-20T00:00:00"/>
    <s v="P001"/>
    <x v="0"/>
    <n v="25"/>
    <n v="50"/>
    <n v="0"/>
    <n v="15"/>
    <s v="Wireless Mouse"/>
    <x v="0"/>
    <n v="10"/>
    <n v="1250"/>
    <n v="0"/>
    <n v="250"/>
    <n v="985"/>
  </r>
  <r>
    <x v="192"/>
    <d v="2026-01-15T00:00:00"/>
    <s v="P001"/>
    <x v="0"/>
    <n v="2"/>
    <n v="50"/>
    <n v="0.2"/>
    <n v="5"/>
    <s v="Wireless Mouse"/>
    <x v="0"/>
    <n v="10"/>
    <n v="100"/>
    <n v="10"/>
    <n v="20"/>
    <n v="75"/>
  </r>
  <r>
    <x v="193"/>
    <d v="2026-03-02T00:00:00"/>
    <s v="P001"/>
    <x v="3"/>
    <n v="24"/>
    <n v="50"/>
    <n v="0"/>
    <n v="10"/>
    <s v="Wireless Mouse"/>
    <x v="0"/>
    <n v="10"/>
    <n v="1200"/>
    <n v="0"/>
    <n v="240"/>
    <n v="950"/>
  </r>
  <r>
    <x v="194"/>
    <d v="2026-01-24T00:00:00"/>
    <s v="P001"/>
    <x v="3"/>
    <n v="12"/>
    <n v="50"/>
    <n v="0.35"/>
    <n v="15"/>
    <s v="Wireless Mouse"/>
    <x v="0"/>
    <n v="10"/>
    <n v="600"/>
    <n v="17.5"/>
    <n v="120"/>
    <n v="465"/>
  </r>
  <r>
    <x v="195"/>
    <d v="2026-08-10T00:00:00"/>
    <s v="P001"/>
    <x v="3"/>
    <n v="19"/>
    <n v="50"/>
    <n v="0.1"/>
    <n v="20"/>
    <s v="Wireless Mouse"/>
    <x v="0"/>
    <n v="10"/>
    <n v="950"/>
    <n v="5"/>
    <n v="190"/>
    <n v="740"/>
  </r>
  <r>
    <x v="196"/>
    <d v="2026-01-20T00:00:00"/>
    <s v="P001"/>
    <x v="3"/>
    <n v="9"/>
    <n v="50"/>
    <n v="0.35"/>
    <n v="10"/>
    <s v="Wireless Mouse"/>
    <x v="0"/>
    <n v="10"/>
    <n v="450"/>
    <n v="17.5"/>
    <n v="90"/>
    <n v="350"/>
  </r>
  <r>
    <x v="197"/>
    <d v="2026-03-02T00:00:00"/>
    <s v="P001"/>
    <x v="1"/>
    <n v="23"/>
    <n v="50"/>
    <n v="0.2"/>
    <n v="20"/>
    <s v="Wireless Mouse"/>
    <x v="0"/>
    <n v="10"/>
    <n v="1150"/>
    <n v="10"/>
    <n v="230"/>
    <n v="900"/>
  </r>
  <r>
    <x v="198"/>
    <d v="2026-10-07T00:00:00"/>
    <s v="P001"/>
    <x v="3"/>
    <n v="17"/>
    <n v="50"/>
    <n v="0.1"/>
    <n v="10"/>
    <s v="Wireless Mouse"/>
    <x v="0"/>
    <n v="10"/>
    <n v="850"/>
    <n v="5"/>
    <n v="170"/>
    <n v="670"/>
  </r>
  <r>
    <x v="199"/>
    <d v="2026-05-17T00:00:00"/>
    <s v="P001"/>
    <x v="3"/>
    <n v="2"/>
    <n v="50"/>
    <n v="0.35"/>
    <n v="20"/>
    <s v="Wireless Mouse"/>
    <x v="0"/>
    <n v="10"/>
    <n v="100"/>
    <n v="17.5"/>
    <n v="20"/>
    <n v="60"/>
  </r>
  <r>
    <x v="200"/>
    <d v="2026-06-02T00:00:00"/>
    <s v="P001"/>
    <x v="2"/>
    <n v="13"/>
    <n v="50"/>
    <n v="0.35"/>
    <n v="5"/>
    <s v="Wireless Mouse"/>
    <x v="0"/>
    <n v="10"/>
    <n v="650"/>
    <n v="17.5"/>
    <n v="130"/>
    <n v="515"/>
  </r>
  <r>
    <x v="201"/>
    <d v="2026-06-27T00:00:00"/>
    <s v="P001"/>
    <x v="3"/>
    <n v="5"/>
    <n v="50"/>
    <n v="0.2"/>
    <n v="5"/>
    <s v="Wireless Mouse"/>
    <x v="0"/>
    <n v="10"/>
    <n v="250"/>
    <n v="10"/>
    <n v="50"/>
    <n v="195"/>
  </r>
  <r>
    <x v="202"/>
    <d v="2026-07-13T00:00:00"/>
    <s v="P001"/>
    <x v="0"/>
    <n v="16"/>
    <n v="50"/>
    <n v="0.35"/>
    <n v="15"/>
    <s v="Wireless Mouse"/>
    <x v="0"/>
    <n v="10"/>
    <n v="800"/>
    <n v="17.5"/>
    <n v="160"/>
    <n v="625"/>
  </r>
  <r>
    <x v="203"/>
    <d v="2026-12-02T00:00:00"/>
    <s v="P001"/>
    <x v="2"/>
    <n v="4"/>
    <n v="50"/>
    <n v="0.2"/>
    <n v="5"/>
    <s v="Wireless Mouse"/>
    <x v="0"/>
    <n v="10"/>
    <n v="200"/>
    <n v="10"/>
    <n v="40"/>
    <n v="155"/>
  </r>
  <r>
    <x v="204"/>
    <d v="2026-10-10T00:00:00"/>
    <s v="P001"/>
    <x v="1"/>
    <n v="18"/>
    <n v="50"/>
    <n v="0.1"/>
    <n v="10"/>
    <s v="Wireless Mouse"/>
    <x v="0"/>
    <n v="10"/>
    <n v="900"/>
    <n v="5"/>
    <n v="180"/>
    <n v="710"/>
  </r>
  <r>
    <x v="205"/>
    <d v="2026-02-14T00:00:00"/>
    <s v="P001"/>
    <x v="3"/>
    <n v="11"/>
    <n v="50"/>
    <n v="0.1"/>
    <n v="5"/>
    <s v="Wireless Mouse"/>
    <x v="0"/>
    <n v="10"/>
    <n v="550"/>
    <n v="5"/>
    <n v="110"/>
    <n v="435"/>
  </r>
  <r>
    <x v="206"/>
    <d v="2026-04-02T00:00:00"/>
    <s v="P002"/>
    <x v="2"/>
    <n v="25"/>
    <n v="50"/>
    <n v="0.1"/>
    <n v="5"/>
    <s v="Mechanical Keyboard"/>
    <x v="0"/>
    <n v="40"/>
    <n v="1250"/>
    <n v="5"/>
    <n v="1000"/>
    <n v="245"/>
  </r>
  <r>
    <x v="207"/>
    <d v="2026-04-03T00:00:00"/>
    <s v="P002"/>
    <x v="1"/>
    <n v="13"/>
    <n v="50"/>
    <n v="0.35"/>
    <n v="10"/>
    <s v="Mechanical Keyboard"/>
    <x v="0"/>
    <n v="40"/>
    <n v="650"/>
    <n v="17.5"/>
    <n v="520"/>
    <n v="120"/>
  </r>
  <r>
    <x v="208"/>
    <d v="2026-11-02T00:00:00"/>
    <s v="P002"/>
    <x v="2"/>
    <n v="20"/>
    <n v="50"/>
    <n v="0.1"/>
    <n v="5"/>
    <s v="Mechanical Keyboard"/>
    <x v="0"/>
    <n v="40"/>
    <n v="1000"/>
    <n v="5"/>
    <n v="800"/>
    <n v="195"/>
  </r>
  <r>
    <x v="209"/>
    <d v="2026-06-08T00:00:00"/>
    <s v="P002"/>
    <x v="3"/>
    <n v="10"/>
    <n v="50"/>
    <n v="0.1"/>
    <n v="15"/>
    <s v="Mechanical Keyboard"/>
    <x v="0"/>
    <n v="40"/>
    <n v="500"/>
    <n v="5"/>
    <n v="400"/>
    <n v="85"/>
  </r>
  <r>
    <x v="210"/>
    <d v="2026-01-27T00:00:00"/>
    <s v="P002"/>
    <x v="1"/>
    <n v="3"/>
    <n v="50"/>
    <n v="0.35"/>
    <n v="10"/>
    <s v="Mechanical Keyboard"/>
    <x v="0"/>
    <n v="40"/>
    <n v="150"/>
    <n v="17.5"/>
    <n v="120"/>
    <n v="20"/>
  </r>
  <r>
    <x v="211"/>
    <d v="2026-06-13T00:00:00"/>
    <s v="P002"/>
    <x v="0"/>
    <n v="20"/>
    <n v="50"/>
    <n v="0"/>
    <n v="15"/>
    <s v="Mechanical Keyboard"/>
    <x v="0"/>
    <n v="40"/>
    <n v="1000"/>
    <n v="0"/>
    <n v="800"/>
    <n v="185"/>
  </r>
  <r>
    <x v="212"/>
    <d v="2026-02-21T00:00:00"/>
    <s v="P002"/>
    <x v="3"/>
    <n v="2"/>
    <n v="50"/>
    <n v="0.35"/>
    <n v="20"/>
    <s v="Mechanical Keyboard"/>
    <x v="0"/>
    <n v="40"/>
    <n v="100"/>
    <n v="17.5"/>
    <n v="80"/>
    <n v="0"/>
  </r>
  <r>
    <x v="213"/>
    <d v="2026-06-06T00:00:00"/>
    <s v="P002"/>
    <x v="2"/>
    <n v="2"/>
    <n v="50"/>
    <n v="0"/>
    <n v="20"/>
    <s v="Mechanical Keyboard"/>
    <x v="0"/>
    <n v="40"/>
    <n v="100"/>
    <n v="0"/>
    <n v="80"/>
    <n v="0"/>
  </r>
  <r>
    <x v="214"/>
    <d v="2026-05-31T00:00:00"/>
    <s v="P002"/>
    <x v="2"/>
    <n v="19"/>
    <n v="50"/>
    <n v="0"/>
    <n v="20"/>
    <s v="Mechanical Keyboard"/>
    <x v="0"/>
    <n v="40"/>
    <n v="950"/>
    <n v="0"/>
    <n v="760"/>
    <n v="170"/>
  </r>
  <r>
    <x v="215"/>
    <d v="2026-10-20T00:00:00"/>
    <s v="P002"/>
    <x v="0"/>
    <n v="5"/>
    <n v="50"/>
    <n v="0"/>
    <n v="15"/>
    <s v="Mechanical Keyboard"/>
    <x v="0"/>
    <n v="40"/>
    <n v="250"/>
    <n v="0"/>
    <n v="200"/>
    <n v="35"/>
  </r>
  <r>
    <x v="216"/>
    <d v="2026-05-16T00:00:00"/>
    <s v="P002"/>
    <x v="2"/>
    <n v="5"/>
    <n v="50"/>
    <n v="0.1"/>
    <n v="15"/>
    <s v="Mechanical Keyboard"/>
    <x v="0"/>
    <n v="40"/>
    <n v="250"/>
    <n v="5"/>
    <n v="200"/>
    <n v="35"/>
  </r>
  <r>
    <x v="217"/>
    <d v="2026-07-27T00:00:00"/>
    <s v="P002"/>
    <x v="3"/>
    <n v="6"/>
    <n v="50"/>
    <n v="0.1"/>
    <n v="5"/>
    <s v="Mechanical Keyboard"/>
    <x v="0"/>
    <n v="40"/>
    <n v="300"/>
    <n v="5"/>
    <n v="240"/>
    <n v="55"/>
  </r>
  <r>
    <x v="218"/>
    <d v="2026-01-14T00:00:00"/>
    <s v="P002"/>
    <x v="0"/>
    <n v="25"/>
    <n v="50"/>
    <n v="0.35"/>
    <n v="20"/>
    <s v="Mechanical Keyboard"/>
    <x v="0"/>
    <n v="40"/>
    <n v="1250"/>
    <n v="17.5"/>
    <n v="1000"/>
    <n v="230"/>
  </r>
  <r>
    <x v="219"/>
    <d v="2026-10-17T00:00:00"/>
    <s v="P002"/>
    <x v="0"/>
    <n v="10"/>
    <n v="50"/>
    <n v="0.1"/>
    <n v="15"/>
    <s v="Mechanical Keyboard"/>
    <x v="0"/>
    <n v="40"/>
    <n v="500"/>
    <n v="5"/>
    <n v="400"/>
    <n v="85"/>
  </r>
  <r>
    <x v="220"/>
    <d v="2026-11-27T00:00:00"/>
    <s v="P002"/>
    <x v="1"/>
    <n v="7"/>
    <n v="50"/>
    <n v="0.2"/>
    <n v="15"/>
    <s v="Mechanical Keyboard"/>
    <x v="0"/>
    <n v="40"/>
    <n v="350"/>
    <n v="10"/>
    <n v="280"/>
    <n v="55"/>
  </r>
  <r>
    <x v="221"/>
    <d v="2026-01-31T00:00:00"/>
    <s v="P002"/>
    <x v="2"/>
    <n v="6"/>
    <n v="50"/>
    <n v="0.2"/>
    <n v="15"/>
    <s v="Mechanical Keyboard"/>
    <x v="0"/>
    <n v="40"/>
    <n v="300"/>
    <n v="10"/>
    <n v="240"/>
    <n v="45"/>
  </r>
  <r>
    <x v="222"/>
    <d v="2026-04-09T00:00:00"/>
    <s v="P002"/>
    <x v="3"/>
    <n v="10"/>
    <n v="50"/>
    <n v="0.2"/>
    <n v="20"/>
    <s v="Mechanical Keyboard"/>
    <x v="0"/>
    <n v="40"/>
    <n v="500"/>
    <n v="10"/>
    <n v="400"/>
    <n v="80"/>
  </r>
  <r>
    <x v="223"/>
    <d v="2026-09-29T00:00:00"/>
    <s v="P002"/>
    <x v="3"/>
    <n v="15"/>
    <n v="50"/>
    <n v="0.1"/>
    <n v="10"/>
    <s v="Mechanical Keyboard"/>
    <x v="0"/>
    <n v="40"/>
    <n v="750"/>
    <n v="5"/>
    <n v="600"/>
    <n v="140"/>
  </r>
  <r>
    <x v="224"/>
    <d v="2026-01-25T00:00:00"/>
    <s v="P002"/>
    <x v="0"/>
    <n v="12"/>
    <n v="50"/>
    <n v="0.35"/>
    <n v="20"/>
    <s v="Mechanical Keyboard"/>
    <x v="0"/>
    <n v="40"/>
    <n v="600"/>
    <n v="17.5"/>
    <n v="480"/>
    <n v="100"/>
  </r>
  <r>
    <x v="225"/>
    <d v="2026-09-04T00:00:00"/>
    <s v="P002"/>
    <x v="3"/>
    <n v="15"/>
    <n v="50"/>
    <n v="0.2"/>
    <n v="20"/>
    <s v="Mechanical Keyboard"/>
    <x v="0"/>
    <n v="40"/>
    <n v="750"/>
    <n v="10"/>
    <n v="600"/>
    <n v="130"/>
  </r>
  <r>
    <x v="226"/>
    <d v="2026-03-05T00:00:00"/>
    <s v="P002"/>
    <x v="1"/>
    <n v="14"/>
    <n v="50"/>
    <n v="0.1"/>
    <n v="5"/>
    <s v="Mechanical Keyboard"/>
    <x v="0"/>
    <n v="40"/>
    <n v="700"/>
    <n v="5"/>
    <n v="560"/>
    <n v="135"/>
  </r>
  <r>
    <x v="227"/>
    <d v="2026-01-19T00:00:00"/>
    <s v="P002"/>
    <x v="1"/>
    <n v="4"/>
    <n v="50"/>
    <n v="0.35"/>
    <n v="10"/>
    <s v="Mechanical Keyboard"/>
    <x v="0"/>
    <n v="40"/>
    <n v="200"/>
    <n v="17.5"/>
    <n v="160"/>
    <n v="30"/>
  </r>
  <r>
    <x v="228"/>
    <d v="2026-11-15T00:00:00"/>
    <s v="P002"/>
    <x v="0"/>
    <n v="13"/>
    <n v="50"/>
    <n v="0"/>
    <n v="5"/>
    <s v="Mechanical Keyboard"/>
    <x v="0"/>
    <n v="40"/>
    <n v="650"/>
    <n v="0"/>
    <n v="520"/>
    <n v="125"/>
  </r>
  <r>
    <x v="229"/>
    <d v="2026-07-21T00:00:00"/>
    <s v="P002"/>
    <x v="0"/>
    <n v="13"/>
    <n v="50"/>
    <n v="0"/>
    <n v="15"/>
    <s v="Mechanical Keyboard"/>
    <x v="0"/>
    <n v="40"/>
    <n v="650"/>
    <n v="0"/>
    <n v="520"/>
    <n v="115"/>
  </r>
  <r>
    <x v="230"/>
    <d v="2026-07-02T00:00:00"/>
    <s v="P002"/>
    <x v="2"/>
    <n v="10"/>
    <n v="50"/>
    <n v="0.2"/>
    <n v="10"/>
    <s v="Mechanical Keyboard"/>
    <x v="0"/>
    <n v="40"/>
    <n v="500"/>
    <n v="10"/>
    <n v="400"/>
    <n v="90"/>
  </r>
  <r>
    <x v="231"/>
    <d v="2026-05-13T00:00:00"/>
    <s v="P002"/>
    <x v="1"/>
    <n v="20"/>
    <n v="50"/>
    <n v="0.1"/>
    <n v="15"/>
    <s v="Mechanical Keyboard"/>
    <x v="0"/>
    <n v="40"/>
    <n v="1000"/>
    <n v="5"/>
    <n v="800"/>
    <n v="185"/>
  </r>
  <r>
    <x v="232"/>
    <d v="2026-04-02T00:00:00"/>
    <s v="P002"/>
    <x v="2"/>
    <n v="24"/>
    <n v="50"/>
    <n v="0"/>
    <n v="15"/>
    <s v="Mechanical Keyboard"/>
    <x v="0"/>
    <n v="40"/>
    <n v="1200"/>
    <n v="0"/>
    <n v="960"/>
    <n v="225"/>
  </r>
  <r>
    <x v="233"/>
    <d v="2026-09-06T00:00:00"/>
    <s v="P002"/>
    <x v="1"/>
    <n v="5"/>
    <n v="50"/>
    <n v="0.2"/>
    <n v="20"/>
    <s v="Mechanical Keyboard"/>
    <x v="0"/>
    <n v="40"/>
    <n v="250"/>
    <n v="10"/>
    <n v="200"/>
    <n v="30"/>
  </r>
  <r>
    <x v="234"/>
    <d v="2026-05-22T00:00:00"/>
    <s v="P002"/>
    <x v="2"/>
    <n v="18"/>
    <n v="50"/>
    <n v="0.2"/>
    <n v="10"/>
    <s v="Mechanical Keyboard"/>
    <x v="0"/>
    <n v="40"/>
    <n v="900"/>
    <n v="10"/>
    <n v="720"/>
    <n v="170"/>
  </r>
  <r>
    <x v="235"/>
    <d v="2026-11-10T00:00:00"/>
    <s v="P002"/>
    <x v="0"/>
    <n v="9"/>
    <n v="50"/>
    <n v="0.2"/>
    <n v="20"/>
    <s v="Mechanical Keyboard"/>
    <x v="0"/>
    <n v="40"/>
    <n v="450"/>
    <n v="10"/>
    <n v="360"/>
    <n v="70"/>
  </r>
  <r>
    <x v="236"/>
    <d v="2026-11-14T00:00:00"/>
    <s v="P002"/>
    <x v="0"/>
    <n v="4"/>
    <n v="50"/>
    <n v="0.1"/>
    <n v="20"/>
    <s v="Mechanical Keyboard"/>
    <x v="0"/>
    <n v="40"/>
    <n v="200"/>
    <n v="5"/>
    <n v="160"/>
    <n v="20"/>
  </r>
  <r>
    <x v="237"/>
    <d v="2026-06-11T00:00:00"/>
    <s v="P002"/>
    <x v="0"/>
    <n v="11"/>
    <n v="50"/>
    <n v="0.1"/>
    <n v="10"/>
    <s v="Mechanical Keyboard"/>
    <x v="0"/>
    <n v="40"/>
    <n v="550"/>
    <n v="5"/>
    <n v="440"/>
    <n v="100"/>
  </r>
  <r>
    <x v="238"/>
    <d v="2026-08-26T00:00:00"/>
    <s v="P002"/>
    <x v="1"/>
    <n v="23"/>
    <n v="50"/>
    <n v="0.1"/>
    <n v="20"/>
    <s v="Mechanical Keyboard"/>
    <x v="0"/>
    <n v="40"/>
    <n v="1150"/>
    <n v="5"/>
    <n v="920"/>
    <n v="210"/>
  </r>
  <r>
    <x v="239"/>
    <d v="2026-01-23T00:00:00"/>
    <s v="P002"/>
    <x v="0"/>
    <n v="19"/>
    <n v="50"/>
    <n v="0.2"/>
    <n v="5"/>
    <s v="Mechanical Keyboard"/>
    <x v="0"/>
    <n v="40"/>
    <n v="950"/>
    <n v="10"/>
    <n v="760"/>
    <n v="185"/>
  </r>
  <r>
    <x v="240"/>
    <d v="2026-05-17T00:00:00"/>
    <s v="P002"/>
    <x v="2"/>
    <n v="20"/>
    <n v="50"/>
    <n v="0.35"/>
    <n v="10"/>
    <s v="Mechanical Keyboard"/>
    <x v="0"/>
    <n v="40"/>
    <n v="1000"/>
    <n v="17.5"/>
    <n v="800"/>
    <n v="190"/>
  </r>
  <r>
    <x v="241"/>
    <d v="2026-01-09T00:00:00"/>
    <s v="P002"/>
    <x v="0"/>
    <n v="14"/>
    <n v="50"/>
    <n v="0.2"/>
    <n v="5"/>
    <s v="Mechanical Keyboard"/>
    <x v="0"/>
    <n v="40"/>
    <n v="700"/>
    <n v="10"/>
    <n v="560"/>
    <n v="135"/>
  </r>
  <r>
    <x v="242"/>
    <d v="2026-11-14T00:00:00"/>
    <s v="P002"/>
    <x v="3"/>
    <n v="11"/>
    <n v="50"/>
    <n v="0.35"/>
    <n v="20"/>
    <s v="Mechanical Keyboard"/>
    <x v="0"/>
    <n v="40"/>
    <n v="550"/>
    <n v="17.5"/>
    <n v="440"/>
    <n v="90"/>
  </r>
  <r>
    <x v="243"/>
    <d v="2026-06-17T00:00:00"/>
    <s v="P002"/>
    <x v="1"/>
    <n v="21"/>
    <n v="50"/>
    <n v="0.2"/>
    <n v="20"/>
    <s v="Mechanical Keyboard"/>
    <x v="0"/>
    <n v="40"/>
    <n v="1050"/>
    <n v="10"/>
    <n v="840"/>
    <n v="190"/>
  </r>
  <r>
    <x v="244"/>
    <d v="2026-09-03T00:00:00"/>
    <s v="P002"/>
    <x v="3"/>
    <n v="12"/>
    <n v="50"/>
    <n v="0.1"/>
    <n v="20"/>
    <s v="Mechanical Keyboard"/>
    <x v="0"/>
    <n v="40"/>
    <n v="600"/>
    <n v="5"/>
    <n v="480"/>
    <n v="100"/>
  </r>
  <r>
    <x v="245"/>
    <d v="2026-10-29T00:00:00"/>
    <s v="P002"/>
    <x v="2"/>
    <n v="20"/>
    <n v="50"/>
    <n v="0.2"/>
    <n v="15"/>
    <s v="Mechanical Keyboard"/>
    <x v="0"/>
    <n v="40"/>
    <n v="1000"/>
    <n v="10"/>
    <n v="800"/>
    <n v="185"/>
  </r>
  <r>
    <x v="246"/>
    <d v="2026-12-25T00:00:00"/>
    <s v="P002"/>
    <x v="2"/>
    <n v="14"/>
    <n v="50"/>
    <n v="0"/>
    <n v="5"/>
    <s v="Mechanical Keyboard"/>
    <x v="0"/>
    <n v="40"/>
    <n v="700"/>
    <n v="0"/>
    <n v="560"/>
    <n v="135"/>
  </r>
  <r>
    <x v="247"/>
    <d v="2026-03-07T00:00:00"/>
    <s v="P002"/>
    <x v="0"/>
    <n v="7"/>
    <n v="50"/>
    <n v="0.2"/>
    <n v="15"/>
    <s v="Mechanical Keyboard"/>
    <x v="0"/>
    <n v="40"/>
    <n v="350"/>
    <n v="10"/>
    <n v="280"/>
    <n v="55"/>
  </r>
  <r>
    <x v="248"/>
    <d v="2026-03-07T00:00:00"/>
    <s v="P002"/>
    <x v="1"/>
    <n v="16"/>
    <n v="50"/>
    <n v="0.1"/>
    <n v="20"/>
    <s v="Mechanical Keyboard"/>
    <x v="0"/>
    <n v="40"/>
    <n v="800"/>
    <n v="5"/>
    <n v="640"/>
    <n v="140"/>
  </r>
  <r>
    <x v="249"/>
    <d v="2026-03-14T00:00:00"/>
    <s v="P002"/>
    <x v="0"/>
    <n v="25"/>
    <n v="50"/>
    <n v="0.2"/>
    <n v="5"/>
    <s v="Mechanical Keyboard"/>
    <x v="0"/>
    <n v="40"/>
    <n v="1250"/>
    <n v="10"/>
    <n v="1000"/>
    <n v="245"/>
  </r>
  <r>
    <x v="250"/>
    <d v="2026-02-16T00:00:00"/>
    <s v="P002"/>
    <x v="1"/>
    <n v="16"/>
    <n v="50"/>
    <n v="0"/>
    <n v="20"/>
    <s v="Mechanical Keyboard"/>
    <x v="0"/>
    <n v="40"/>
    <n v="800"/>
    <n v="0"/>
    <n v="640"/>
    <n v="140"/>
  </r>
  <r>
    <x v="251"/>
    <d v="2026-05-15T00:00:00"/>
    <s v="P002"/>
    <x v="1"/>
    <n v="4"/>
    <n v="50"/>
    <n v="0"/>
    <n v="15"/>
    <s v="Mechanical Keyboard"/>
    <x v="0"/>
    <n v="40"/>
    <n v="200"/>
    <n v="0"/>
    <n v="160"/>
    <n v="25"/>
  </r>
  <r>
    <x v="252"/>
    <d v="2026-08-12T00:00:00"/>
    <s v="P002"/>
    <x v="3"/>
    <n v="25"/>
    <n v="50"/>
    <n v="0.1"/>
    <n v="5"/>
    <s v="Mechanical Keyboard"/>
    <x v="0"/>
    <n v="40"/>
    <n v="1250"/>
    <n v="5"/>
    <n v="1000"/>
    <n v="245"/>
  </r>
  <r>
    <x v="253"/>
    <d v="2026-10-19T00:00:00"/>
    <s v="P002"/>
    <x v="0"/>
    <n v="7"/>
    <n v="50"/>
    <n v="0.2"/>
    <n v="10"/>
    <s v="Mechanical Keyboard"/>
    <x v="0"/>
    <n v="40"/>
    <n v="350"/>
    <n v="10"/>
    <n v="280"/>
    <n v="60"/>
  </r>
  <r>
    <x v="254"/>
    <d v="2026-01-13T00:00:00"/>
    <s v="P002"/>
    <x v="2"/>
    <n v="8"/>
    <n v="50"/>
    <n v="0"/>
    <n v="10"/>
    <s v="Mechanical Keyboard"/>
    <x v="0"/>
    <n v="40"/>
    <n v="400"/>
    <n v="0"/>
    <n v="320"/>
    <n v="70"/>
  </r>
  <r>
    <x v="255"/>
    <d v="2026-03-02T00:00:00"/>
    <s v="P002"/>
    <x v="3"/>
    <n v="3"/>
    <n v="50"/>
    <n v="0"/>
    <n v="10"/>
    <s v="Mechanical Keyboard"/>
    <x v="0"/>
    <n v="40"/>
    <n v="150"/>
    <n v="0"/>
    <n v="120"/>
    <n v="20"/>
  </r>
  <r>
    <x v="256"/>
    <d v="2026-04-14T00:00:00"/>
    <s v="P002"/>
    <x v="0"/>
    <n v="14"/>
    <n v="50"/>
    <n v="0.35"/>
    <n v="20"/>
    <s v="Mechanical Keyboard"/>
    <x v="0"/>
    <n v="40"/>
    <n v="700"/>
    <n v="17.5"/>
    <n v="560"/>
    <n v="120"/>
  </r>
  <r>
    <x v="257"/>
    <d v="2026-05-22T00:00:00"/>
    <s v="P002"/>
    <x v="1"/>
    <n v="17"/>
    <n v="50"/>
    <n v="0.1"/>
    <n v="5"/>
    <s v="Mechanical Keyboard"/>
    <x v="0"/>
    <n v="40"/>
    <n v="850"/>
    <n v="5"/>
    <n v="680"/>
    <n v="165"/>
  </r>
  <r>
    <x v="258"/>
    <d v="2026-05-06T00:00:00"/>
    <s v="P002"/>
    <x v="0"/>
    <n v="4"/>
    <n v="50"/>
    <n v="0.2"/>
    <n v="15"/>
    <s v="Mechanical Keyboard"/>
    <x v="0"/>
    <n v="40"/>
    <n v="200"/>
    <n v="10"/>
    <n v="160"/>
    <n v="25"/>
  </r>
  <r>
    <x v="259"/>
    <d v="2026-06-09T00:00:00"/>
    <s v="P002"/>
    <x v="2"/>
    <n v="1"/>
    <n v="50"/>
    <n v="0.1"/>
    <n v="10"/>
    <s v="Mechanical Keyboard"/>
    <x v="0"/>
    <n v="40"/>
    <n v="50"/>
    <n v="5"/>
    <n v="40"/>
    <n v="0"/>
  </r>
  <r>
    <x v="260"/>
    <d v="2026-03-29T00:00:00"/>
    <s v="P002"/>
    <x v="3"/>
    <n v="6"/>
    <n v="50"/>
    <n v="0.35"/>
    <n v="15"/>
    <s v="Mechanical Keyboard"/>
    <x v="0"/>
    <n v="40"/>
    <n v="300"/>
    <n v="17.5"/>
    <n v="240"/>
    <n v="45"/>
  </r>
  <r>
    <x v="261"/>
    <d v="2026-02-02T00:00:00"/>
    <s v="P002"/>
    <x v="1"/>
    <n v="18"/>
    <n v="50"/>
    <n v="0.1"/>
    <n v="15"/>
    <s v="Mechanical Keyboard"/>
    <x v="0"/>
    <n v="40"/>
    <n v="900"/>
    <n v="5"/>
    <n v="720"/>
    <n v="165"/>
  </r>
  <r>
    <x v="262"/>
    <d v="2026-12-22T00:00:00"/>
    <s v="P002"/>
    <x v="2"/>
    <n v="4"/>
    <n v="50"/>
    <n v="0"/>
    <n v="5"/>
    <s v="Mechanical Keyboard"/>
    <x v="0"/>
    <n v="40"/>
    <n v="200"/>
    <n v="0"/>
    <n v="160"/>
    <n v="35"/>
  </r>
  <r>
    <x v="263"/>
    <d v="2026-08-31T00:00:00"/>
    <s v="P002"/>
    <x v="0"/>
    <n v="8"/>
    <n v="50"/>
    <n v="0.35"/>
    <n v="10"/>
    <s v="Mechanical Keyboard"/>
    <x v="0"/>
    <n v="40"/>
    <n v="400"/>
    <n v="17.5"/>
    <n v="320"/>
    <n v="70"/>
  </r>
  <r>
    <x v="264"/>
    <d v="2026-07-20T00:00:00"/>
    <s v="P002"/>
    <x v="1"/>
    <n v="11"/>
    <n v="50"/>
    <n v="0.1"/>
    <n v="10"/>
    <s v="Mechanical Keyboard"/>
    <x v="0"/>
    <n v="40"/>
    <n v="550"/>
    <n v="5"/>
    <n v="440"/>
    <n v="100"/>
  </r>
  <r>
    <x v="265"/>
    <d v="2026-05-10T00:00:00"/>
    <s v="P002"/>
    <x v="1"/>
    <n v="10"/>
    <n v="50"/>
    <n v="0.35"/>
    <n v="20"/>
    <s v="Mechanical Keyboard"/>
    <x v="0"/>
    <n v="40"/>
    <n v="500"/>
    <n v="17.5"/>
    <n v="400"/>
    <n v="80"/>
  </r>
  <r>
    <x v="266"/>
    <d v="2026-09-06T00:00:00"/>
    <s v="P002"/>
    <x v="0"/>
    <n v="23"/>
    <n v="50"/>
    <n v="0.2"/>
    <n v="10"/>
    <s v="Mechanical Keyboard"/>
    <x v="0"/>
    <n v="40"/>
    <n v="1150"/>
    <n v="10"/>
    <n v="920"/>
    <n v="220"/>
  </r>
  <r>
    <x v="267"/>
    <d v="2026-02-04T00:00:00"/>
    <s v="P002"/>
    <x v="0"/>
    <n v="7"/>
    <n v="50"/>
    <n v="0.1"/>
    <n v="5"/>
    <s v="Mechanical Keyboard"/>
    <x v="0"/>
    <n v="40"/>
    <n v="350"/>
    <n v="5"/>
    <n v="280"/>
    <n v="65"/>
  </r>
  <r>
    <x v="268"/>
    <d v="2026-05-20T00:00:00"/>
    <s v="P002"/>
    <x v="1"/>
    <n v="7"/>
    <n v="50"/>
    <n v="0.1"/>
    <n v="5"/>
    <s v="Mechanical Keyboard"/>
    <x v="0"/>
    <n v="40"/>
    <n v="350"/>
    <n v="5"/>
    <n v="280"/>
    <n v="65"/>
  </r>
  <r>
    <x v="269"/>
    <d v="2026-10-04T00:00:00"/>
    <s v="P002"/>
    <x v="2"/>
    <n v="20"/>
    <n v="50"/>
    <n v="0"/>
    <n v="10"/>
    <s v="Mechanical Keyboard"/>
    <x v="0"/>
    <n v="40"/>
    <n v="1000"/>
    <n v="0"/>
    <n v="800"/>
    <n v="190"/>
  </r>
  <r>
    <x v="270"/>
    <d v="2026-07-24T00:00:00"/>
    <s v="P002"/>
    <x v="2"/>
    <n v="23"/>
    <n v="50"/>
    <n v="0.35"/>
    <n v="10"/>
    <s v="Mechanical Keyboard"/>
    <x v="0"/>
    <n v="40"/>
    <n v="1150"/>
    <n v="17.5"/>
    <n v="920"/>
    <n v="220"/>
  </r>
  <r>
    <x v="271"/>
    <d v="2026-08-09T00:00:00"/>
    <s v="P002"/>
    <x v="0"/>
    <n v="3"/>
    <n v="50"/>
    <n v="0.2"/>
    <n v="20"/>
    <s v="Mechanical Keyboard"/>
    <x v="0"/>
    <n v="40"/>
    <n v="150"/>
    <n v="10"/>
    <n v="120"/>
    <n v="10"/>
  </r>
  <r>
    <x v="272"/>
    <d v="2026-03-06T00:00:00"/>
    <s v="P002"/>
    <x v="2"/>
    <n v="10"/>
    <n v="50"/>
    <n v="0"/>
    <n v="10"/>
    <s v="Mechanical Keyboard"/>
    <x v="0"/>
    <n v="40"/>
    <n v="500"/>
    <n v="0"/>
    <n v="400"/>
    <n v="90"/>
  </r>
  <r>
    <x v="273"/>
    <d v="2026-05-15T00:00:00"/>
    <s v="P002"/>
    <x v="0"/>
    <n v="19"/>
    <n v="50"/>
    <n v="0.2"/>
    <n v="20"/>
    <s v="Mechanical Keyboard"/>
    <x v="0"/>
    <n v="40"/>
    <n v="950"/>
    <n v="10"/>
    <n v="760"/>
    <n v="170"/>
  </r>
  <r>
    <x v="274"/>
    <d v="2026-06-12T00:00:00"/>
    <s v="P002"/>
    <x v="3"/>
    <n v="18"/>
    <n v="50"/>
    <n v="0.35"/>
    <n v="10"/>
    <s v="Mechanical Keyboard"/>
    <x v="0"/>
    <n v="40"/>
    <n v="900"/>
    <n v="17.5"/>
    <n v="720"/>
    <n v="170"/>
  </r>
  <r>
    <x v="275"/>
    <d v="2026-07-28T00:00:00"/>
    <s v="P002"/>
    <x v="0"/>
    <n v="7"/>
    <n v="50"/>
    <n v="0.1"/>
    <n v="5"/>
    <s v="Mechanical Keyboard"/>
    <x v="0"/>
    <n v="40"/>
    <n v="350"/>
    <n v="5"/>
    <n v="280"/>
    <n v="65"/>
  </r>
  <r>
    <x v="276"/>
    <d v="2026-03-09T00:00:00"/>
    <s v="P002"/>
    <x v="0"/>
    <n v="17"/>
    <n v="50"/>
    <n v="0.2"/>
    <n v="10"/>
    <s v="Mechanical Keyboard"/>
    <x v="0"/>
    <n v="40"/>
    <n v="850"/>
    <n v="10"/>
    <n v="680"/>
    <n v="160"/>
  </r>
  <r>
    <x v="277"/>
    <d v="2026-03-20T00:00:00"/>
    <s v="P002"/>
    <x v="2"/>
    <n v="22"/>
    <n v="50"/>
    <n v="0"/>
    <n v="10"/>
    <s v="Mechanical Keyboard"/>
    <x v="0"/>
    <n v="40"/>
    <n v="1100"/>
    <n v="0"/>
    <n v="880"/>
    <n v="210"/>
  </r>
  <r>
    <x v="278"/>
    <d v="2026-06-22T00:00:00"/>
    <s v="P002"/>
    <x v="1"/>
    <n v="10"/>
    <n v="50"/>
    <n v="0.2"/>
    <n v="10"/>
    <s v="Mechanical Keyboard"/>
    <x v="0"/>
    <n v="40"/>
    <n v="500"/>
    <n v="10"/>
    <n v="400"/>
    <n v="90"/>
  </r>
  <r>
    <x v="279"/>
    <d v="2026-04-11T00:00:00"/>
    <s v="P002"/>
    <x v="2"/>
    <n v="16"/>
    <n v="50"/>
    <n v="0.35"/>
    <n v="10"/>
    <s v="Mechanical Keyboard"/>
    <x v="0"/>
    <n v="40"/>
    <n v="800"/>
    <n v="17.5"/>
    <n v="640"/>
    <n v="150"/>
  </r>
  <r>
    <x v="280"/>
    <d v="2026-05-09T00:00:00"/>
    <s v="P002"/>
    <x v="3"/>
    <n v="2"/>
    <n v="50"/>
    <n v="0.1"/>
    <n v="15"/>
    <s v="Mechanical Keyboard"/>
    <x v="0"/>
    <n v="40"/>
    <n v="100"/>
    <n v="5"/>
    <n v="80"/>
    <n v="5"/>
  </r>
  <r>
    <x v="281"/>
    <d v="2026-01-30T00:00:00"/>
    <s v="P002"/>
    <x v="2"/>
    <n v="19"/>
    <n v="50"/>
    <n v="0.35"/>
    <n v="20"/>
    <s v="Mechanical Keyboard"/>
    <x v="0"/>
    <n v="40"/>
    <n v="950"/>
    <n v="17.5"/>
    <n v="760"/>
    <n v="170"/>
  </r>
  <r>
    <x v="282"/>
    <d v="2026-10-27T00:00:00"/>
    <s v="P002"/>
    <x v="1"/>
    <n v="21"/>
    <n v="50"/>
    <n v="0.1"/>
    <n v="20"/>
    <s v="Mechanical Keyboard"/>
    <x v="0"/>
    <n v="40"/>
    <n v="1050"/>
    <n v="5"/>
    <n v="840"/>
    <n v="190"/>
  </r>
  <r>
    <x v="283"/>
    <d v="2026-06-21T00:00:00"/>
    <s v="P002"/>
    <x v="3"/>
    <n v="4"/>
    <n v="50"/>
    <n v="0.2"/>
    <n v="5"/>
    <s v="Mechanical Keyboard"/>
    <x v="0"/>
    <n v="40"/>
    <n v="200"/>
    <n v="10"/>
    <n v="160"/>
    <n v="35"/>
  </r>
  <r>
    <x v="284"/>
    <d v="2026-03-12T00:00:00"/>
    <s v="P002"/>
    <x v="2"/>
    <n v="3"/>
    <n v="50"/>
    <n v="0"/>
    <n v="20"/>
    <s v="Mechanical Keyboard"/>
    <x v="0"/>
    <n v="40"/>
    <n v="150"/>
    <n v="0"/>
    <n v="120"/>
    <n v="10"/>
  </r>
  <r>
    <x v="285"/>
    <d v="2026-01-20T00:00:00"/>
    <s v="P002"/>
    <x v="2"/>
    <n v="17"/>
    <n v="50"/>
    <n v="0.35"/>
    <n v="5"/>
    <s v="Mechanical Keyboard"/>
    <x v="0"/>
    <n v="40"/>
    <n v="850"/>
    <n v="17.5"/>
    <n v="680"/>
    <n v="165"/>
  </r>
  <r>
    <x v="286"/>
    <d v="2026-02-10T00:00:00"/>
    <s v="P002"/>
    <x v="1"/>
    <n v="25"/>
    <n v="50"/>
    <n v="0.35"/>
    <n v="5"/>
    <s v="Mechanical Keyboard"/>
    <x v="0"/>
    <n v="40"/>
    <n v="1250"/>
    <n v="17.5"/>
    <n v="1000"/>
    <n v="245"/>
  </r>
  <r>
    <x v="287"/>
    <d v="2026-08-14T00:00:00"/>
    <s v="P002"/>
    <x v="1"/>
    <n v="22"/>
    <n v="50"/>
    <n v="0"/>
    <n v="5"/>
    <s v="Mechanical Keyboard"/>
    <x v="0"/>
    <n v="40"/>
    <n v="1100"/>
    <n v="0"/>
    <n v="880"/>
    <n v="215"/>
  </r>
  <r>
    <x v="288"/>
    <d v="2026-04-18T00:00:00"/>
    <s v="P002"/>
    <x v="2"/>
    <n v="19"/>
    <n v="50"/>
    <n v="0.1"/>
    <n v="20"/>
    <s v="Mechanical Keyboard"/>
    <x v="0"/>
    <n v="40"/>
    <n v="950"/>
    <n v="5"/>
    <n v="760"/>
    <n v="170"/>
  </r>
  <r>
    <x v="289"/>
    <d v="2026-12-15T00:00:00"/>
    <s v="P002"/>
    <x v="1"/>
    <n v="15"/>
    <n v="50"/>
    <n v="0"/>
    <n v="10"/>
    <s v="Mechanical Keyboard"/>
    <x v="0"/>
    <n v="40"/>
    <n v="750"/>
    <n v="0"/>
    <n v="600"/>
    <n v="140"/>
  </r>
  <r>
    <x v="290"/>
    <d v="2026-09-28T00:00:00"/>
    <s v="P002"/>
    <x v="2"/>
    <n v="13"/>
    <n v="50"/>
    <n v="0"/>
    <n v="5"/>
    <s v="Mechanical Keyboard"/>
    <x v="0"/>
    <n v="40"/>
    <n v="650"/>
    <n v="0"/>
    <n v="520"/>
    <n v="125"/>
  </r>
  <r>
    <x v="291"/>
    <d v="2026-07-13T00:00:00"/>
    <s v="P002"/>
    <x v="2"/>
    <n v="23"/>
    <n v="50"/>
    <n v="0.1"/>
    <n v="5"/>
    <s v="Mechanical Keyboard"/>
    <x v="0"/>
    <n v="40"/>
    <n v="1150"/>
    <n v="5"/>
    <n v="920"/>
    <n v="225"/>
  </r>
  <r>
    <x v="292"/>
    <d v="2026-04-08T00:00:00"/>
    <s v="P002"/>
    <x v="3"/>
    <n v="15"/>
    <n v="50"/>
    <n v="0.1"/>
    <n v="20"/>
    <s v="Mechanical Keyboard"/>
    <x v="0"/>
    <n v="40"/>
    <n v="750"/>
    <n v="5"/>
    <n v="600"/>
    <n v="130"/>
  </r>
  <r>
    <x v="293"/>
    <d v="2026-10-24T00:00:00"/>
    <s v="P002"/>
    <x v="2"/>
    <n v="16"/>
    <n v="50"/>
    <n v="0"/>
    <n v="10"/>
    <s v="Mechanical Keyboard"/>
    <x v="0"/>
    <n v="40"/>
    <n v="800"/>
    <n v="0"/>
    <n v="640"/>
    <n v="150"/>
  </r>
  <r>
    <x v="294"/>
    <d v="2026-06-09T00:00:00"/>
    <s v="P002"/>
    <x v="3"/>
    <n v="5"/>
    <n v="50"/>
    <n v="0.1"/>
    <n v="10"/>
    <s v="Mechanical Keyboard"/>
    <x v="0"/>
    <n v="40"/>
    <n v="250"/>
    <n v="5"/>
    <n v="200"/>
    <n v="40"/>
  </r>
  <r>
    <x v="295"/>
    <d v="2026-03-29T00:00:00"/>
    <s v="P002"/>
    <x v="0"/>
    <n v="21"/>
    <n v="50"/>
    <n v="0.2"/>
    <n v="20"/>
    <s v="Mechanical Keyboard"/>
    <x v="0"/>
    <n v="40"/>
    <n v="1050"/>
    <n v="10"/>
    <n v="840"/>
    <n v="190"/>
  </r>
  <r>
    <x v="296"/>
    <d v="2026-12-04T00:00:00"/>
    <s v="P002"/>
    <x v="3"/>
    <n v="3"/>
    <n v="50"/>
    <n v="0.35"/>
    <n v="15"/>
    <s v="Mechanical Keyboard"/>
    <x v="0"/>
    <n v="40"/>
    <n v="150"/>
    <n v="17.5"/>
    <n v="120"/>
    <n v="15"/>
  </r>
  <r>
    <x v="297"/>
    <d v="2026-12-03T00:00:00"/>
    <s v="P002"/>
    <x v="2"/>
    <n v="8"/>
    <n v="50"/>
    <n v="0.35"/>
    <n v="20"/>
    <s v="Mechanical Keyboard"/>
    <x v="0"/>
    <n v="40"/>
    <n v="400"/>
    <n v="17.5"/>
    <n v="320"/>
    <n v="60"/>
  </r>
  <r>
    <x v="298"/>
    <d v="2026-12-05T00:00:00"/>
    <s v="P002"/>
    <x v="3"/>
    <n v="4"/>
    <n v="50"/>
    <n v="0.1"/>
    <n v="15"/>
    <s v="Mechanical Keyboard"/>
    <x v="0"/>
    <n v="40"/>
    <n v="200"/>
    <n v="5"/>
    <n v="160"/>
    <n v="25"/>
  </r>
  <r>
    <x v="299"/>
    <d v="2026-11-04T00:00:00"/>
    <s v="P002"/>
    <x v="1"/>
    <n v="20"/>
    <n v="50"/>
    <n v="0.2"/>
    <n v="10"/>
    <s v="Mechanical Keyboard"/>
    <x v="0"/>
    <n v="40"/>
    <n v="1000"/>
    <n v="10"/>
    <n v="800"/>
    <n v="190"/>
  </r>
  <r>
    <x v="300"/>
    <d v="2026-12-06T00:00:00"/>
    <s v="P002"/>
    <x v="1"/>
    <n v="11"/>
    <n v="50"/>
    <n v="0.2"/>
    <n v="5"/>
    <s v="Mechanical Keyboard"/>
    <x v="0"/>
    <n v="40"/>
    <n v="550"/>
    <n v="10"/>
    <n v="440"/>
    <n v="105"/>
  </r>
  <r>
    <x v="301"/>
    <d v="2026-03-27T00:00:00"/>
    <s v="P002"/>
    <x v="1"/>
    <n v="16"/>
    <n v="50"/>
    <n v="0.35"/>
    <n v="5"/>
    <s v="Mechanical Keyboard"/>
    <x v="0"/>
    <n v="40"/>
    <n v="800"/>
    <n v="17.5"/>
    <n v="640"/>
    <n v="155"/>
  </r>
  <r>
    <x v="302"/>
    <d v="2026-02-09T00:00:00"/>
    <s v="P002"/>
    <x v="2"/>
    <n v="24"/>
    <n v="50"/>
    <n v="0.35"/>
    <n v="10"/>
    <s v="Mechanical Keyboard"/>
    <x v="0"/>
    <n v="40"/>
    <n v="1200"/>
    <n v="17.5"/>
    <n v="960"/>
    <n v="230"/>
  </r>
  <r>
    <x v="303"/>
    <d v="2026-08-26T00:00:00"/>
    <s v="P002"/>
    <x v="2"/>
    <n v="5"/>
    <n v="50"/>
    <n v="0.2"/>
    <n v="15"/>
    <s v="Mechanical Keyboard"/>
    <x v="0"/>
    <n v="40"/>
    <n v="250"/>
    <n v="10"/>
    <n v="200"/>
    <n v="35"/>
  </r>
  <r>
    <x v="304"/>
    <d v="2026-05-30T00:00:00"/>
    <s v="P002"/>
    <x v="0"/>
    <n v="10"/>
    <n v="50"/>
    <n v="0.2"/>
    <n v="20"/>
    <s v="Mechanical Keyboard"/>
    <x v="0"/>
    <n v="40"/>
    <n v="500"/>
    <n v="10"/>
    <n v="400"/>
    <n v="80"/>
  </r>
  <r>
    <x v="305"/>
    <d v="2026-02-06T00:00:00"/>
    <s v="P002"/>
    <x v="0"/>
    <n v="3"/>
    <n v="50"/>
    <n v="0.2"/>
    <n v="20"/>
    <s v="Mechanical Keyboard"/>
    <x v="0"/>
    <n v="40"/>
    <n v="150"/>
    <n v="10"/>
    <n v="120"/>
    <n v="10"/>
  </r>
  <r>
    <x v="306"/>
    <d v="2026-12-22T00:00:00"/>
    <s v="P002"/>
    <x v="3"/>
    <n v="20"/>
    <n v="50"/>
    <n v="0.35"/>
    <n v="15"/>
    <s v="Mechanical Keyboard"/>
    <x v="0"/>
    <n v="40"/>
    <n v="1000"/>
    <n v="17.5"/>
    <n v="800"/>
    <n v="185"/>
  </r>
  <r>
    <x v="307"/>
    <d v="2026-05-21T00:00:00"/>
    <s v="P002"/>
    <x v="1"/>
    <n v="15"/>
    <n v="50"/>
    <n v="0.2"/>
    <n v="10"/>
    <s v="Mechanical Keyboard"/>
    <x v="0"/>
    <n v="40"/>
    <n v="750"/>
    <n v="10"/>
    <n v="600"/>
    <n v="140"/>
  </r>
  <r>
    <x v="308"/>
    <d v="2026-11-07T00:00:00"/>
    <s v="P002"/>
    <x v="1"/>
    <n v="4"/>
    <n v="50"/>
    <n v="0.1"/>
    <n v="5"/>
    <s v="Mechanical Keyboard"/>
    <x v="0"/>
    <n v="40"/>
    <n v="200"/>
    <n v="5"/>
    <n v="160"/>
    <n v="35"/>
  </r>
  <r>
    <x v="309"/>
    <d v="2026-10-08T00:00:00"/>
    <s v="P002"/>
    <x v="0"/>
    <n v="9"/>
    <n v="50"/>
    <n v="0"/>
    <n v="5"/>
    <s v="Mechanical Keyboard"/>
    <x v="0"/>
    <n v="40"/>
    <n v="450"/>
    <n v="0"/>
    <n v="360"/>
    <n v="85"/>
  </r>
  <r>
    <x v="310"/>
    <d v="2026-11-26T00:00:00"/>
    <s v="P002"/>
    <x v="1"/>
    <n v="4"/>
    <n v="50"/>
    <n v="0.35"/>
    <n v="10"/>
    <s v="Mechanical Keyboard"/>
    <x v="0"/>
    <n v="40"/>
    <n v="200"/>
    <n v="17.5"/>
    <n v="160"/>
    <n v="30"/>
  </r>
  <r>
    <x v="311"/>
    <d v="2026-12-10T00:00:00"/>
    <s v="P002"/>
    <x v="1"/>
    <n v="11"/>
    <n v="50"/>
    <n v="0"/>
    <n v="5"/>
    <s v="Mechanical Keyboard"/>
    <x v="0"/>
    <n v="40"/>
    <n v="550"/>
    <n v="0"/>
    <n v="440"/>
    <n v="105"/>
  </r>
  <r>
    <x v="312"/>
    <d v="2026-01-12T00:00:00"/>
    <s v="P002"/>
    <x v="0"/>
    <n v="2"/>
    <n v="50"/>
    <n v="0.1"/>
    <n v="15"/>
    <s v="Mechanical Keyboard"/>
    <x v="0"/>
    <n v="40"/>
    <n v="100"/>
    <n v="5"/>
    <n v="80"/>
    <n v="5"/>
  </r>
  <r>
    <x v="313"/>
    <d v="2026-10-10T00:00:00"/>
    <s v="P002"/>
    <x v="3"/>
    <n v="20"/>
    <n v="50"/>
    <n v="0.35"/>
    <n v="20"/>
    <s v="Mechanical Keyboard"/>
    <x v="0"/>
    <n v="40"/>
    <n v="1000"/>
    <n v="17.5"/>
    <n v="800"/>
    <n v="180"/>
  </r>
  <r>
    <x v="314"/>
    <d v="2026-09-30T00:00:00"/>
    <s v="P002"/>
    <x v="2"/>
    <n v="3"/>
    <n v="50"/>
    <n v="0.2"/>
    <n v="15"/>
    <s v="Mechanical Keyboard"/>
    <x v="0"/>
    <n v="40"/>
    <n v="150"/>
    <n v="10"/>
    <n v="120"/>
    <n v="15"/>
  </r>
  <r>
    <x v="315"/>
    <d v="2026-06-28T00:00:00"/>
    <s v="P002"/>
    <x v="2"/>
    <n v="4"/>
    <n v="50"/>
    <n v="0.35"/>
    <n v="10"/>
    <s v="Mechanical Keyboard"/>
    <x v="0"/>
    <n v="40"/>
    <n v="200"/>
    <n v="17.5"/>
    <n v="160"/>
    <n v="30"/>
  </r>
  <r>
    <x v="316"/>
    <d v="2026-12-09T00:00:00"/>
    <s v="P002"/>
    <x v="1"/>
    <n v="11"/>
    <n v="50"/>
    <n v="0"/>
    <n v="15"/>
    <s v="Mechanical Keyboard"/>
    <x v="0"/>
    <n v="40"/>
    <n v="550"/>
    <n v="0"/>
    <n v="440"/>
    <n v="95"/>
  </r>
  <r>
    <x v="317"/>
    <d v="2026-03-29T00:00:00"/>
    <s v="P002"/>
    <x v="1"/>
    <n v="11"/>
    <n v="50"/>
    <n v="0.1"/>
    <n v="20"/>
    <s v="Mechanical Keyboard"/>
    <x v="0"/>
    <n v="40"/>
    <n v="550"/>
    <n v="5"/>
    <n v="440"/>
    <n v="90"/>
  </r>
  <r>
    <x v="318"/>
    <d v="2026-04-05T00:00:00"/>
    <s v="P002"/>
    <x v="0"/>
    <n v="20"/>
    <n v="50"/>
    <n v="0.1"/>
    <n v="20"/>
    <s v="Mechanical Keyboard"/>
    <x v="0"/>
    <n v="40"/>
    <n v="1000"/>
    <n v="5"/>
    <n v="800"/>
    <n v="180"/>
  </r>
  <r>
    <x v="319"/>
    <d v="2026-01-10T00:00:00"/>
    <s v="P002"/>
    <x v="2"/>
    <n v="15"/>
    <n v="50"/>
    <n v="0"/>
    <n v="10"/>
    <s v="Mechanical Keyboard"/>
    <x v="0"/>
    <n v="40"/>
    <n v="750"/>
    <n v="0"/>
    <n v="600"/>
    <n v="140"/>
  </r>
  <r>
    <x v="320"/>
    <d v="2026-04-05T00:00:00"/>
    <s v="P002"/>
    <x v="1"/>
    <n v="9"/>
    <n v="50"/>
    <n v="0"/>
    <n v="15"/>
    <s v="Mechanical Keyboard"/>
    <x v="0"/>
    <n v="40"/>
    <n v="450"/>
    <n v="0"/>
    <n v="360"/>
    <n v="75"/>
  </r>
  <r>
    <x v="321"/>
    <d v="2026-09-17T00:00:00"/>
    <s v="P002"/>
    <x v="0"/>
    <n v="14"/>
    <n v="50"/>
    <n v="0.35"/>
    <n v="15"/>
    <s v="Mechanical Keyboard"/>
    <x v="0"/>
    <n v="40"/>
    <n v="700"/>
    <n v="17.5"/>
    <n v="560"/>
    <n v="125"/>
  </r>
  <r>
    <x v="322"/>
    <d v="2026-10-22T00:00:00"/>
    <s v="P002"/>
    <x v="1"/>
    <n v="4"/>
    <n v="50"/>
    <n v="0.2"/>
    <n v="5"/>
    <s v="Mechanical Keyboard"/>
    <x v="0"/>
    <n v="40"/>
    <n v="200"/>
    <n v="10"/>
    <n v="160"/>
    <n v="35"/>
  </r>
  <r>
    <x v="323"/>
    <d v="2026-01-09T00:00:00"/>
    <s v="P002"/>
    <x v="0"/>
    <n v="16"/>
    <n v="50"/>
    <n v="0.1"/>
    <n v="10"/>
    <s v="Mechanical Keyboard"/>
    <x v="0"/>
    <n v="40"/>
    <n v="800"/>
    <n v="5"/>
    <n v="640"/>
    <n v="150"/>
  </r>
  <r>
    <x v="324"/>
    <d v="2026-03-10T00:00:00"/>
    <s v="P002"/>
    <x v="3"/>
    <n v="9"/>
    <n v="50"/>
    <n v="0.2"/>
    <n v="5"/>
    <s v="Mechanical Keyboard"/>
    <x v="0"/>
    <n v="40"/>
    <n v="450"/>
    <n v="10"/>
    <n v="360"/>
    <n v="85"/>
  </r>
  <r>
    <x v="325"/>
    <d v="2026-01-29T00:00:00"/>
    <s v="P002"/>
    <x v="1"/>
    <n v="23"/>
    <n v="50"/>
    <n v="0.1"/>
    <n v="10"/>
    <s v="Mechanical Keyboard"/>
    <x v="0"/>
    <n v="40"/>
    <n v="1150"/>
    <n v="5"/>
    <n v="920"/>
    <n v="220"/>
  </r>
  <r>
    <x v="326"/>
    <d v="2026-10-24T00:00:00"/>
    <s v="P002"/>
    <x v="1"/>
    <n v="4"/>
    <n v="50"/>
    <n v="0.2"/>
    <n v="15"/>
    <s v="Mechanical Keyboard"/>
    <x v="0"/>
    <n v="40"/>
    <n v="200"/>
    <n v="10"/>
    <n v="160"/>
    <n v="25"/>
  </r>
  <r>
    <x v="327"/>
    <d v="2026-07-12T00:00:00"/>
    <s v="P002"/>
    <x v="0"/>
    <n v="21"/>
    <n v="50"/>
    <n v="0.35"/>
    <n v="20"/>
    <s v="Mechanical Keyboard"/>
    <x v="0"/>
    <n v="40"/>
    <n v="1050"/>
    <n v="17.5"/>
    <n v="840"/>
    <n v="190"/>
  </r>
  <r>
    <x v="328"/>
    <d v="2026-08-13T00:00:00"/>
    <s v="P002"/>
    <x v="3"/>
    <n v="6"/>
    <n v="50"/>
    <n v="0.1"/>
    <n v="10"/>
    <s v="Mechanical Keyboard"/>
    <x v="0"/>
    <n v="40"/>
    <n v="300"/>
    <n v="5"/>
    <n v="240"/>
    <n v="50"/>
  </r>
  <r>
    <x v="329"/>
    <d v="2026-11-02T00:00:00"/>
    <s v="P002"/>
    <x v="3"/>
    <n v="20"/>
    <n v="50"/>
    <n v="0.35"/>
    <n v="20"/>
    <s v="Mechanical Keyboard"/>
    <x v="0"/>
    <n v="40"/>
    <n v="1000"/>
    <n v="17.5"/>
    <n v="800"/>
    <n v="180"/>
  </r>
  <r>
    <x v="330"/>
    <d v="2026-04-15T00:00:00"/>
    <s v="P002"/>
    <x v="3"/>
    <n v="21"/>
    <n v="50"/>
    <n v="0"/>
    <n v="20"/>
    <s v="Mechanical Keyboard"/>
    <x v="0"/>
    <n v="40"/>
    <n v="1050"/>
    <n v="0"/>
    <n v="840"/>
    <n v="190"/>
  </r>
  <r>
    <x v="331"/>
    <d v="2026-08-26T00:00:00"/>
    <s v="P002"/>
    <x v="1"/>
    <n v="10"/>
    <n v="50"/>
    <n v="0.2"/>
    <n v="15"/>
    <s v="Mechanical Keyboard"/>
    <x v="0"/>
    <n v="40"/>
    <n v="500"/>
    <n v="10"/>
    <n v="400"/>
    <n v="85"/>
  </r>
  <r>
    <x v="332"/>
    <d v="2026-10-29T00:00:00"/>
    <s v="P002"/>
    <x v="0"/>
    <n v="3"/>
    <n v="50"/>
    <n v="0.35"/>
    <n v="20"/>
    <s v="Mechanical Keyboard"/>
    <x v="0"/>
    <n v="40"/>
    <n v="150"/>
    <n v="17.5"/>
    <n v="120"/>
    <n v="10"/>
  </r>
  <r>
    <x v="333"/>
    <d v="2026-11-27T00:00:00"/>
    <s v="P002"/>
    <x v="1"/>
    <n v="12"/>
    <n v="50"/>
    <n v="0.1"/>
    <n v="10"/>
    <s v="Mechanical Keyboard"/>
    <x v="0"/>
    <n v="40"/>
    <n v="600"/>
    <n v="5"/>
    <n v="480"/>
    <n v="110"/>
  </r>
  <r>
    <x v="334"/>
    <d v="2026-01-21T00:00:00"/>
    <s v="P002"/>
    <x v="1"/>
    <n v="17"/>
    <n v="50"/>
    <n v="0"/>
    <n v="15"/>
    <s v="Mechanical Keyboard"/>
    <x v="0"/>
    <n v="40"/>
    <n v="850"/>
    <n v="0"/>
    <n v="680"/>
    <n v="155"/>
  </r>
  <r>
    <x v="335"/>
    <d v="2026-09-12T00:00:00"/>
    <s v="P002"/>
    <x v="1"/>
    <n v="17"/>
    <n v="50"/>
    <n v="0.1"/>
    <n v="10"/>
    <s v="Mechanical Keyboard"/>
    <x v="0"/>
    <n v="40"/>
    <n v="850"/>
    <n v="5"/>
    <n v="680"/>
    <n v="160"/>
  </r>
  <r>
    <x v="336"/>
    <d v="2026-09-27T00:00:00"/>
    <s v="P002"/>
    <x v="0"/>
    <n v="23"/>
    <n v="50"/>
    <n v="0"/>
    <n v="20"/>
    <s v="Mechanical Keyboard"/>
    <x v="0"/>
    <n v="40"/>
    <n v="1150"/>
    <n v="0"/>
    <n v="920"/>
    <n v="210"/>
  </r>
  <r>
    <x v="337"/>
    <d v="2026-09-25T00:00:00"/>
    <s v="P002"/>
    <x v="1"/>
    <n v="24"/>
    <n v="50"/>
    <n v="0"/>
    <n v="5"/>
    <s v="Mechanical Keyboard"/>
    <x v="0"/>
    <n v="40"/>
    <n v="1200"/>
    <n v="0"/>
    <n v="960"/>
    <n v="235"/>
  </r>
  <r>
    <x v="338"/>
    <d v="2026-06-02T00:00:00"/>
    <s v="P002"/>
    <x v="3"/>
    <n v="14"/>
    <n v="50"/>
    <n v="0.1"/>
    <n v="15"/>
    <s v="Mechanical Keyboard"/>
    <x v="0"/>
    <n v="40"/>
    <n v="700"/>
    <n v="5"/>
    <n v="560"/>
    <n v="125"/>
  </r>
  <r>
    <x v="339"/>
    <d v="2026-11-14T00:00:00"/>
    <s v="P002"/>
    <x v="2"/>
    <n v="22"/>
    <n v="50"/>
    <n v="0.2"/>
    <n v="15"/>
    <s v="Mechanical Keyboard"/>
    <x v="0"/>
    <n v="40"/>
    <n v="1100"/>
    <n v="10"/>
    <n v="880"/>
    <n v="205"/>
  </r>
  <r>
    <x v="340"/>
    <d v="2026-12-31T00:00:00"/>
    <s v="P002"/>
    <x v="0"/>
    <n v="19"/>
    <n v="50"/>
    <n v="0"/>
    <n v="15"/>
    <s v="Mechanical Keyboard"/>
    <x v="0"/>
    <n v="40"/>
    <n v="950"/>
    <n v="0"/>
    <n v="760"/>
    <n v="175"/>
  </r>
  <r>
    <x v="341"/>
    <d v="2026-06-11T00:00:00"/>
    <s v="P002"/>
    <x v="2"/>
    <n v="9"/>
    <n v="50"/>
    <n v="0.35"/>
    <n v="20"/>
    <s v="Mechanical Keyboard"/>
    <x v="0"/>
    <n v="40"/>
    <n v="450"/>
    <n v="17.5"/>
    <n v="360"/>
    <n v="70"/>
  </r>
  <r>
    <x v="342"/>
    <d v="2026-12-06T00:00:00"/>
    <s v="P002"/>
    <x v="2"/>
    <n v="15"/>
    <n v="50"/>
    <n v="0.1"/>
    <n v="5"/>
    <s v="Mechanical Keyboard"/>
    <x v="0"/>
    <n v="40"/>
    <n v="750"/>
    <n v="5"/>
    <n v="600"/>
    <n v="145"/>
  </r>
  <r>
    <x v="343"/>
    <d v="2026-02-24T00:00:00"/>
    <s v="P002"/>
    <x v="3"/>
    <n v="2"/>
    <n v="50"/>
    <n v="0.2"/>
    <n v="5"/>
    <s v="Mechanical Keyboard"/>
    <x v="0"/>
    <n v="40"/>
    <n v="100"/>
    <n v="10"/>
    <n v="80"/>
    <n v="15"/>
  </r>
  <r>
    <x v="344"/>
    <d v="2026-04-14T00:00:00"/>
    <s v="P002"/>
    <x v="2"/>
    <n v="15"/>
    <n v="50"/>
    <n v="0.2"/>
    <n v="5"/>
    <s v="Mechanical Keyboard"/>
    <x v="0"/>
    <n v="40"/>
    <n v="750"/>
    <n v="10"/>
    <n v="600"/>
    <n v="145"/>
  </r>
  <r>
    <x v="345"/>
    <d v="2026-02-15T00:00:00"/>
    <s v="P002"/>
    <x v="2"/>
    <n v="20"/>
    <n v="50"/>
    <n v="0"/>
    <n v="15"/>
    <s v="Mechanical Keyboard"/>
    <x v="0"/>
    <n v="40"/>
    <n v="1000"/>
    <n v="0"/>
    <n v="800"/>
    <n v="185"/>
  </r>
  <r>
    <x v="346"/>
    <d v="2026-04-13T00:00:00"/>
    <s v="P002"/>
    <x v="3"/>
    <n v="18"/>
    <n v="50"/>
    <n v="0.35"/>
    <n v="20"/>
    <s v="Mechanical Keyboard"/>
    <x v="0"/>
    <n v="40"/>
    <n v="900"/>
    <n v="17.5"/>
    <n v="720"/>
    <n v="160"/>
  </r>
  <r>
    <x v="347"/>
    <d v="2026-08-09T00:00:00"/>
    <s v="P002"/>
    <x v="3"/>
    <n v="14"/>
    <n v="50"/>
    <n v="0.2"/>
    <n v="10"/>
    <s v="Mechanical Keyboard"/>
    <x v="0"/>
    <n v="40"/>
    <n v="700"/>
    <n v="10"/>
    <n v="560"/>
    <n v="130"/>
  </r>
  <r>
    <x v="348"/>
    <d v="2026-03-16T00:00:00"/>
    <s v="P002"/>
    <x v="1"/>
    <n v="10"/>
    <n v="50"/>
    <n v="0.2"/>
    <n v="20"/>
    <s v="Mechanical Keyboard"/>
    <x v="0"/>
    <n v="40"/>
    <n v="500"/>
    <n v="10"/>
    <n v="400"/>
    <n v="80"/>
  </r>
  <r>
    <x v="349"/>
    <d v="2026-12-20T00:00:00"/>
    <s v="P002"/>
    <x v="2"/>
    <n v="5"/>
    <n v="50"/>
    <n v="0.2"/>
    <n v="10"/>
    <s v="Mechanical Keyboard"/>
    <x v="0"/>
    <n v="40"/>
    <n v="250"/>
    <n v="10"/>
    <n v="200"/>
    <n v="40"/>
  </r>
  <r>
    <x v="350"/>
    <d v="2026-06-06T00:00:00"/>
    <s v="P002"/>
    <x v="3"/>
    <n v="6"/>
    <n v="50"/>
    <n v="0.2"/>
    <n v="5"/>
    <s v="Mechanical Keyboard"/>
    <x v="0"/>
    <n v="40"/>
    <n v="300"/>
    <n v="10"/>
    <n v="240"/>
    <n v="55"/>
  </r>
  <r>
    <x v="351"/>
    <d v="2026-02-09T00:00:00"/>
    <s v="P002"/>
    <x v="1"/>
    <n v="20"/>
    <n v="50"/>
    <n v="0"/>
    <n v="5"/>
    <s v="Mechanical Keyboard"/>
    <x v="0"/>
    <n v="40"/>
    <n v="1000"/>
    <n v="0"/>
    <n v="800"/>
    <n v="195"/>
  </r>
  <r>
    <x v="352"/>
    <d v="2026-06-26T00:00:00"/>
    <s v="P002"/>
    <x v="2"/>
    <n v="11"/>
    <n v="50"/>
    <n v="0.2"/>
    <n v="10"/>
    <s v="Mechanical Keyboard"/>
    <x v="0"/>
    <n v="40"/>
    <n v="550"/>
    <n v="10"/>
    <n v="440"/>
    <n v="100"/>
  </r>
  <r>
    <x v="353"/>
    <d v="2026-10-28T00:00:00"/>
    <s v="P002"/>
    <x v="3"/>
    <n v="20"/>
    <n v="50"/>
    <n v="0"/>
    <n v="5"/>
    <s v="Mechanical Keyboard"/>
    <x v="0"/>
    <n v="40"/>
    <n v="1000"/>
    <n v="0"/>
    <n v="800"/>
    <n v="195"/>
  </r>
  <r>
    <x v="354"/>
    <d v="2026-12-21T00:00:00"/>
    <s v="P002"/>
    <x v="1"/>
    <n v="19"/>
    <n v="50"/>
    <n v="0.1"/>
    <n v="15"/>
    <s v="Mechanical Keyboard"/>
    <x v="0"/>
    <n v="40"/>
    <n v="950"/>
    <n v="5"/>
    <n v="760"/>
    <n v="175"/>
  </r>
  <r>
    <x v="355"/>
    <d v="2026-04-08T00:00:00"/>
    <s v="P002"/>
    <x v="2"/>
    <n v="10"/>
    <n v="50"/>
    <n v="0.35"/>
    <n v="15"/>
    <s v="Mechanical Keyboard"/>
    <x v="0"/>
    <n v="40"/>
    <n v="500"/>
    <n v="17.5"/>
    <n v="400"/>
    <n v="85"/>
  </r>
  <r>
    <x v="356"/>
    <d v="2026-11-17T00:00:00"/>
    <s v="P002"/>
    <x v="1"/>
    <n v="10"/>
    <n v="50"/>
    <n v="0"/>
    <n v="5"/>
    <s v="Mechanical Keyboard"/>
    <x v="0"/>
    <n v="40"/>
    <n v="500"/>
    <n v="0"/>
    <n v="400"/>
    <n v="95"/>
  </r>
  <r>
    <x v="357"/>
    <d v="2026-04-16T00:00:00"/>
    <s v="P002"/>
    <x v="2"/>
    <n v="12"/>
    <n v="50"/>
    <n v="0.1"/>
    <n v="15"/>
    <s v="Mechanical Keyboard"/>
    <x v="0"/>
    <n v="40"/>
    <n v="600"/>
    <n v="5"/>
    <n v="480"/>
    <n v="105"/>
  </r>
  <r>
    <x v="358"/>
    <d v="2026-07-07T00:00:00"/>
    <s v="P002"/>
    <x v="1"/>
    <n v="2"/>
    <n v="50"/>
    <n v="0.2"/>
    <n v="5"/>
    <s v="Mechanical Keyboard"/>
    <x v="0"/>
    <n v="40"/>
    <n v="100"/>
    <n v="10"/>
    <n v="80"/>
    <n v="15"/>
  </r>
  <r>
    <x v="359"/>
    <d v="2026-06-26T00:00:00"/>
    <s v="P002"/>
    <x v="1"/>
    <n v="3"/>
    <n v="50"/>
    <n v="0"/>
    <n v="15"/>
    <s v="Mechanical Keyboard"/>
    <x v="0"/>
    <n v="40"/>
    <n v="150"/>
    <n v="0"/>
    <n v="120"/>
    <n v="15"/>
  </r>
  <r>
    <x v="360"/>
    <d v="2026-04-11T00:00:00"/>
    <s v="P002"/>
    <x v="1"/>
    <n v="10"/>
    <n v="50"/>
    <n v="0.35"/>
    <n v="10"/>
    <s v="Mechanical Keyboard"/>
    <x v="0"/>
    <n v="40"/>
    <n v="500"/>
    <n v="17.5"/>
    <n v="400"/>
    <n v="90"/>
  </r>
  <r>
    <x v="361"/>
    <d v="2026-10-27T00:00:00"/>
    <s v="P002"/>
    <x v="2"/>
    <n v="23"/>
    <n v="50"/>
    <n v="0.35"/>
    <n v="15"/>
    <s v="Mechanical Keyboard"/>
    <x v="0"/>
    <n v="40"/>
    <n v="1150"/>
    <n v="17.5"/>
    <n v="920"/>
    <n v="215"/>
  </r>
  <r>
    <x v="362"/>
    <d v="2026-05-19T00:00:00"/>
    <s v="P002"/>
    <x v="1"/>
    <n v="6"/>
    <n v="50"/>
    <n v="0.35"/>
    <n v="10"/>
    <s v="Mechanical Keyboard"/>
    <x v="0"/>
    <n v="40"/>
    <n v="300"/>
    <n v="17.5"/>
    <n v="240"/>
    <n v="50"/>
  </r>
  <r>
    <x v="363"/>
    <d v="2026-03-06T00:00:00"/>
    <s v="P002"/>
    <x v="3"/>
    <n v="25"/>
    <n v="50"/>
    <n v="0.1"/>
    <n v="5"/>
    <s v="Mechanical Keyboard"/>
    <x v="0"/>
    <n v="40"/>
    <n v="1250"/>
    <n v="5"/>
    <n v="1000"/>
    <n v="245"/>
  </r>
  <r>
    <x v="364"/>
    <d v="2026-07-02T00:00:00"/>
    <s v="P002"/>
    <x v="0"/>
    <n v="21"/>
    <n v="50"/>
    <n v="0.1"/>
    <n v="10"/>
    <s v="Mechanical Keyboard"/>
    <x v="0"/>
    <n v="40"/>
    <n v="1050"/>
    <n v="5"/>
    <n v="840"/>
    <n v="200"/>
  </r>
  <r>
    <x v="365"/>
    <d v="2026-08-17T00:00:00"/>
    <s v="P002"/>
    <x v="0"/>
    <n v="21"/>
    <n v="50"/>
    <n v="0"/>
    <n v="20"/>
    <s v="Mechanical Keyboard"/>
    <x v="0"/>
    <n v="40"/>
    <n v="1050"/>
    <n v="0"/>
    <n v="840"/>
    <n v="190"/>
  </r>
  <r>
    <x v="366"/>
    <d v="2026-01-16T00:00:00"/>
    <s v="P002"/>
    <x v="2"/>
    <n v="3"/>
    <n v="50"/>
    <n v="0.35"/>
    <n v="15"/>
    <s v="Mechanical Keyboard"/>
    <x v="0"/>
    <n v="40"/>
    <n v="150"/>
    <n v="17.5"/>
    <n v="120"/>
    <n v="15"/>
  </r>
  <r>
    <x v="367"/>
    <d v="2026-06-17T00:00:00"/>
    <s v="P002"/>
    <x v="3"/>
    <n v="15"/>
    <n v="50"/>
    <n v="0"/>
    <n v="10"/>
    <s v="Mechanical Keyboard"/>
    <x v="0"/>
    <n v="40"/>
    <n v="750"/>
    <n v="0"/>
    <n v="600"/>
    <n v="140"/>
  </r>
  <r>
    <x v="368"/>
    <d v="2026-10-19T00:00:00"/>
    <s v="P002"/>
    <x v="1"/>
    <n v="11"/>
    <n v="50"/>
    <n v="0"/>
    <n v="20"/>
    <s v="Mechanical Keyboard"/>
    <x v="0"/>
    <n v="40"/>
    <n v="550"/>
    <n v="0"/>
    <n v="440"/>
    <n v="90"/>
  </r>
  <r>
    <x v="369"/>
    <d v="2026-01-10T00:00:00"/>
    <s v="P002"/>
    <x v="1"/>
    <n v="10"/>
    <n v="50"/>
    <n v="0.1"/>
    <n v="5"/>
    <s v="Mechanical Keyboard"/>
    <x v="0"/>
    <n v="40"/>
    <n v="500"/>
    <n v="5"/>
    <n v="400"/>
    <n v="95"/>
  </r>
  <r>
    <x v="370"/>
    <d v="2026-08-03T00:00:00"/>
    <s v="P002"/>
    <x v="2"/>
    <n v="21"/>
    <n v="50"/>
    <n v="0.35"/>
    <n v="10"/>
    <s v="Mechanical Keyboard"/>
    <x v="0"/>
    <n v="40"/>
    <n v="1050"/>
    <n v="17.5"/>
    <n v="840"/>
    <n v="200"/>
  </r>
  <r>
    <x v="371"/>
    <d v="2026-10-11T00:00:00"/>
    <s v="P002"/>
    <x v="1"/>
    <n v="18"/>
    <n v="50"/>
    <n v="0.35"/>
    <n v="20"/>
    <s v="Mechanical Keyboard"/>
    <x v="0"/>
    <n v="40"/>
    <n v="900"/>
    <n v="17.5"/>
    <n v="720"/>
    <n v="160"/>
  </r>
  <r>
    <x v="372"/>
    <d v="2026-05-14T00:00:00"/>
    <s v="P002"/>
    <x v="1"/>
    <n v="6"/>
    <n v="50"/>
    <n v="0.2"/>
    <n v="5"/>
    <s v="Mechanical Keyboard"/>
    <x v="0"/>
    <n v="40"/>
    <n v="300"/>
    <n v="10"/>
    <n v="240"/>
    <n v="55"/>
  </r>
  <r>
    <x v="373"/>
    <d v="2026-06-01T00:00:00"/>
    <s v="P002"/>
    <x v="3"/>
    <n v="13"/>
    <n v="50"/>
    <n v="0.2"/>
    <n v="5"/>
    <s v="Mechanical Keyboard"/>
    <x v="0"/>
    <n v="40"/>
    <n v="650"/>
    <n v="10"/>
    <n v="520"/>
    <n v="125"/>
  </r>
  <r>
    <x v="374"/>
    <d v="2026-10-12T00:00:00"/>
    <s v="P002"/>
    <x v="3"/>
    <n v="16"/>
    <n v="50"/>
    <n v="0"/>
    <n v="20"/>
    <s v="Mechanical Keyboard"/>
    <x v="0"/>
    <n v="40"/>
    <n v="800"/>
    <n v="0"/>
    <n v="640"/>
    <n v="140"/>
  </r>
  <r>
    <x v="375"/>
    <d v="2026-05-28T00:00:00"/>
    <s v="P002"/>
    <x v="1"/>
    <n v="24"/>
    <n v="50"/>
    <n v="0.35"/>
    <n v="15"/>
    <s v="Mechanical Keyboard"/>
    <x v="0"/>
    <n v="40"/>
    <n v="1200"/>
    <n v="17.5"/>
    <n v="960"/>
    <n v="225"/>
  </r>
  <r>
    <x v="376"/>
    <d v="2026-10-08T00:00:00"/>
    <s v="P002"/>
    <x v="3"/>
    <n v="5"/>
    <n v="50"/>
    <n v="0"/>
    <n v="20"/>
    <s v="Mechanical Keyboard"/>
    <x v="0"/>
    <n v="40"/>
    <n v="250"/>
    <n v="0"/>
    <n v="200"/>
    <n v="30"/>
  </r>
  <r>
    <x v="377"/>
    <d v="2026-02-18T00:00:00"/>
    <s v="P002"/>
    <x v="0"/>
    <n v="4"/>
    <n v="50"/>
    <n v="0.2"/>
    <n v="20"/>
    <s v="Mechanical Keyboard"/>
    <x v="0"/>
    <n v="40"/>
    <n v="200"/>
    <n v="10"/>
    <n v="160"/>
    <n v="20"/>
  </r>
  <r>
    <x v="378"/>
    <d v="2026-04-22T00:00:00"/>
    <s v="P002"/>
    <x v="3"/>
    <n v="21"/>
    <n v="50"/>
    <n v="0.2"/>
    <n v="10"/>
    <s v="Mechanical Keyboard"/>
    <x v="0"/>
    <n v="40"/>
    <n v="1050"/>
    <n v="10"/>
    <n v="840"/>
    <n v="200"/>
  </r>
  <r>
    <x v="379"/>
    <d v="2026-02-15T00:00:00"/>
    <s v="P002"/>
    <x v="2"/>
    <n v="12"/>
    <n v="50"/>
    <n v="0.35"/>
    <n v="5"/>
    <s v="Mechanical Keyboard"/>
    <x v="0"/>
    <n v="40"/>
    <n v="600"/>
    <n v="17.5"/>
    <n v="480"/>
    <n v="115"/>
  </r>
  <r>
    <x v="380"/>
    <d v="2026-02-15T00:00:00"/>
    <s v="P002"/>
    <x v="0"/>
    <n v="2"/>
    <n v="50"/>
    <n v="0.35"/>
    <n v="10"/>
    <s v="Mechanical Keyboard"/>
    <x v="0"/>
    <n v="40"/>
    <n v="100"/>
    <n v="17.5"/>
    <n v="80"/>
    <n v="10"/>
  </r>
  <r>
    <x v="381"/>
    <d v="2026-11-01T00:00:00"/>
    <s v="P002"/>
    <x v="2"/>
    <n v="4"/>
    <n v="50"/>
    <n v="0.35"/>
    <n v="10"/>
    <s v="Mechanical Keyboard"/>
    <x v="0"/>
    <n v="40"/>
    <n v="200"/>
    <n v="17.5"/>
    <n v="160"/>
    <n v="30"/>
  </r>
  <r>
    <x v="382"/>
    <d v="2026-05-09T00:00:00"/>
    <s v="P002"/>
    <x v="3"/>
    <n v="2"/>
    <n v="50"/>
    <n v="0.1"/>
    <n v="10"/>
    <s v="Mechanical Keyboard"/>
    <x v="0"/>
    <n v="40"/>
    <n v="100"/>
    <n v="5"/>
    <n v="80"/>
    <n v="10"/>
  </r>
  <r>
    <x v="383"/>
    <d v="2026-10-07T00:00:00"/>
    <s v="P002"/>
    <x v="1"/>
    <n v="20"/>
    <n v="50"/>
    <n v="0.2"/>
    <n v="5"/>
    <s v="Mechanical Keyboard"/>
    <x v="0"/>
    <n v="40"/>
    <n v="1000"/>
    <n v="10"/>
    <n v="800"/>
    <n v="195"/>
  </r>
  <r>
    <x v="384"/>
    <d v="2026-11-24T00:00:00"/>
    <s v="P002"/>
    <x v="1"/>
    <n v="10"/>
    <n v="50"/>
    <n v="0"/>
    <n v="20"/>
    <s v="Mechanical Keyboard"/>
    <x v="0"/>
    <n v="40"/>
    <n v="500"/>
    <n v="0"/>
    <n v="400"/>
    <n v="80"/>
  </r>
  <r>
    <x v="385"/>
    <d v="2026-01-31T00:00:00"/>
    <s v="P002"/>
    <x v="2"/>
    <n v="3"/>
    <n v="50"/>
    <n v="0.1"/>
    <n v="10"/>
    <s v="Mechanical Keyboard"/>
    <x v="0"/>
    <n v="40"/>
    <n v="150"/>
    <n v="5"/>
    <n v="120"/>
    <n v="20"/>
  </r>
  <r>
    <x v="386"/>
    <d v="2026-08-01T00:00:00"/>
    <s v="P002"/>
    <x v="3"/>
    <n v="17"/>
    <n v="50"/>
    <n v="0.35"/>
    <n v="10"/>
    <s v="Mechanical Keyboard"/>
    <x v="0"/>
    <n v="40"/>
    <n v="850"/>
    <n v="17.5"/>
    <n v="680"/>
    <n v="160"/>
  </r>
  <r>
    <x v="387"/>
    <d v="2026-08-25T00:00:00"/>
    <s v="P002"/>
    <x v="2"/>
    <n v="9"/>
    <n v="50"/>
    <n v="0"/>
    <n v="20"/>
    <s v="Mechanical Keyboard"/>
    <x v="0"/>
    <n v="40"/>
    <n v="450"/>
    <n v="0"/>
    <n v="360"/>
    <n v="70"/>
  </r>
  <r>
    <x v="388"/>
    <d v="2026-01-17T00:00:00"/>
    <s v="P002"/>
    <x v="2"/>
    <n v="24"/>
    <n v="50"/>
    <n v="0.2"/>
    <n v="15"/>
    <s v="Mechanical Keyboard"/>
    <x v="0"/>
    <n v="40"/>
    <n v="1200"/>
    <n v="10"/>
    <n v="960"/>
    <n v="225"/>
  </r>
  <r>
    <x v="389"/>
    <d v="2026-12-17T00:00:00"/>
    <s v="P002"/>
    <x v="3"/>
    <n v="7"/>
    <n v="50"/>
    <n v="0.2"/>
    <n v="5"/>
    <s v="Mechanical Keyboard"/>
    <x v="0"/>
    <n v="40"/>
    <n v="350"/>
    <n v="10"/>
    <n v="280"/>
    <n v="65"/>
  </r>
  <r>
    <x v="390"/>
    <d v="2026-08-05T00:00:00"/>
    <s v="P002"/>
    <x v="3"/>
    <n v="21"/>
    <n v="50"/>
    <n v="0"/>
    <n v="20"/>
    <s v="Mechanical Keyboard"/>
    <x v="0"/>
    <n v="40"/>
    <n v="1050"/>
    <n v="0"/>
    <n v="840"/>
    <n v="190"/>
  </r>
  <r>
    <x v="391"/>
    <d v="2026-05-30T00:00:00"/>
    <s v="P002"/>
    <x v="2"/>
    <n v="16"/>
    <n v="50"/>
    <n v="0.35"/>
    <n v="10"/>
    <s v="Mechanical Keyboard"/>
    <x v="0"/>
    <n v="40"/>
    <n v="800"/>
    <n v="17.5"/>
    <n v="640"/>
    <n v="150"/>
  </r>
  <r>
    <x v="392"/>
    <d v="2026-07-07T00:00:00"/>
    <s v="P002"/>
    <x v="2"/>
    <n v="1"/>
    <n v="50"/>
    <n v="0.2"/>
    <n v="5"/>
    <s v="Mechanical Keyboard"/>
    <x v="0"/>
    <n v="40"/>
    <n v="50"/>
    <n v="10"/>
    <n v="40"/>
    <n v="5"/>
  </r>
  <r>
    <x v="393"/>
    <d v="2026-12-21T00:00:00"/>
    <s v="P002"/>
    <x v="2"/>
    <n v="7"/>
    <n v="50"/>
    <n v="0.2"/>
    <n v="10"/>
    <s v="Mechanical Keyboard"/>
    <x v="0"/>
    <n v="40"/>
    <n v="350"/>
    <n v="10"/>
    <n v="280"/>
    <n v="60"/>
  </r>
  <r>
    <x v="394"/>
    <d v="2026-05-11T00:00:00"/>
    <s v="P002"/>
    <x v="3"/>
    <n v="8"/>
    <n v="50"/>
    <n v="0"/>
    <n v="15"/>
    <s v="Mechanical Keyboard"/>
    <x v="0"/>
    <n v="40"/>
    <n v="400"/>
    <n v="0"/>
    <n v="320"/>
    <n v="65"/>
  </r>
  <r>
    <x v="395"/>
    <d v="2026-10-05T00:00:00"/>
    <s v="P002"/>
    <x v="0"/>
    <n v="11"/>
    <n v="50"/>
    <n v="0"/>
    <n v="20"/>
    <s v="Mechanical Keyboard"/>
    <x v="0"/>
    <n v="40"/>
    <n v="550"/>
    <n v="0"/>
    <n v="440"/>
    <n v="90"/>
  </r>
  <r>
    <x v="396"/>
    <d v="2026-04-30T00:00:00"/>
    <s v="P002"/>
    <x v="1"/>
    <n v="21"/>
    <n v="50"/>
    <n v="0.35"/>
    <n v="5"/>
    <s v="Mechanical Keyboard"/>
    <x v="0"/>
    <n v="40"/>
    <n v="1050"/>
    <n v="17.5"/>
    <n v="840"/>
    <n v="205"/>
  </r>
  <r>
    <x v="397"/>
    <d v="2026-09-21T00:00:00"/>
    <s v="P002"/>
    <x v="0"/>
    <n v="6"/>
    <n v="50"/>
    <n v="0.2"/>
    <n v="15"/>
    <s v="Mechanical Keyboard"/>
    <x v="0"/>
    <n v="40"/>
    <n v="300"/>
    <n v="10"/>
    <n v="240"/>
    <n v="45"/>
  </r>
  <r>
    <x v="398"/>
    <d v="2026-01-09T00:00:00"/>
    <s v="P002"/>
    <x v="0"/>
    <n v="23"/>
    <n v="50"/>
    <n v="0.35"/>
    <n v="5"/>
    <s v="Mechanical Keyboard"/>
    <x v="0"/>
    <n v="40"/>
    <n v="1150"/>
    <n v="17.5"/>
    <n v="920"/>
    <n v="225"/>
  </r>
  <r>
    <x v="399"/>
    <d v="2026-02-16T00:00:00"/>
    <s v="P002"/>
    <x v="0"/>
    <n v="22"/>
    <n v="50"/>
    <n v="0.2"/>
    <n v="5"/>
    <s v="Mechanical Keyboard"/>
    <x v="0"/>
    <n v="40"/>
    <n v="1100"/>
    <n v="10"/>
    <n v="880"/>
    <n v="215"/>
  </r>
  <r>
    <x v="400"/>
    <d v="2026-02-24T00:00:00"/>
    <s v="P002"/>
    <x v="3"/>
    <n v="14"/>
    <n v="50"/>
    <n v="0.2"/>
    <n v="10"/>
    <s v="Mechanical Keyboard"/>
    <x v="0"/>
    <n v="40"/>
    <n v="700"/>
    <n v="10"/>
    <n v="560"/>
    <n v="130"/>
  </r>
  <r>
    <x v="401"/>
    <d v="2026-07-08T00:00:00"/>
    <s v="P002"/>
    <x v="1"/>
    <n v="6"/>
    <n v="50"/>
    <n v="0"/>
    <n v="15"/>
    <s v="Mechanical Keyboard"/>
    <x v="0"/>
    <n v="40"/>
    <n v="300"/>
    <n v="0"/>
    <n v="240"/>
    <n v="45"/>
  </r>
  <r>
    <x v="402"/>
    <d v="2026-08-12T00:00:00"/>
    <s v="P002"/>
    <x v="3"/>
    <n v="22"/>
    <n v="50"/>
    <n v="0.2"/>
    <n v="10"/>
    <s v="Mechanical Keyboard"/>
    <x v="0"/>
    <n v="40"/>
    <n v="1100"/>
    <n v="10"/>
    <n v="880"/>
    <n v="210"/>
  </r>
  <r>
    <x v="403"/>
    <d v="2026-03-01T00:00:00"/>
    <s v="P002"/>
    <x v="0"/>
    <n v="16"/>
    <n v="50"/>
    <n v="0.1"/>
    <n v="20"/>
    <s v="Mechanical Keyboard"/>
    <x v="0"/>
    <n v="40"/>
    <n v="800"/>
    <n v="5"/>
    <n v="640"/>
    <n v="140"/>
  </r>
  <r>
    <x v="404"/>
    <d v="2026-06-01T00:00:00"/>
    <s v="P002"/>
    <x v="1"/>
    <n v="4"/>
    <n v="50"/>
    <n v="0"/>
    <n v="5"/>
    <s v="Mechanical Keyboard"/>
    <x v="0"/>
    <n v="40"/>
    <n v="200"/>
    <n v="0"/>
    <n v="160"/>
    <n v="35"/>
  </r>
  <r>
    <x v="405"/>
    <d v="2026-02-23T00:00:00"/>
    <s v="P002"/>
    <x v="1"/>
    <n v="1"/>
    <n v="50"/>
    <n v="0.2"/>
    <n v="5"/>
    <s v="Mechanical Keyboard"/>
    <x v="0"/>
    <n v="40"/>
    <n v="50"/>
    <n v="10"/>
    <n v="40"/>
    <n v="5"/>
  </r>
  <r>
    <x v="406"/>
    <d v="2026-06-21T00:00:00"/>
    <s v="P002"/>
    <x v="1"/>
    <n v="23"/>
    <n v="50"/>
    <n v="0.1"/>
    <n v="10"/>
    <s v="Mechanical Keyboard"/>
    <x v="0"/>
    <n v="40"/>
    <n v="1150"/>
    <n v="5"/>
    <n v="920"/>
    <n v="220"/>
  </r>
  <r>
    <x v="407"/>
    <d v="2026-04-11T00:00:00"/>
    <s v="P002"/>
    <x v="0"/>
    <n v="6"/>
    <n v="50"/>
    <n v="0"/>
    <n v="20"/>
    <s v="Mechanical Keyboard"/>
    <x v="0"/>
    <n v="40"/>
    <n v="300"/>
    <n v="0"/>
    <n v="240"/>
    <n v="40"/>
  </r>
  <r>
    <x v="408"/>
    <d v="2026-12-02T00:00:00"/>
    <s v="P002"/>
    <x v="3"/>
    <n v="12"/>
    <n v="50"/>
    <n v="0"/>
    <n v="15"/>
    <s v="Mechanical Keyboard"/>
    <x v="0"/>
    <n v="40"/>
    <n v="600"/>
    <n v="0"/>
    <n v="480"/>
    <n v="105"/>
  </r>
  <r>
    <x v="409"/>
    <d v="2026-01-28T00:00:00"/>
    <s v="P002"/>
    <x v="2"/>
    <n v="24"/>
    <n v="50"/>
    <n v="0"/>
    <n v="10"/>
    <s v="Mechanical Keyboard"/>
    <x v="0"/>
    <n v="40"/>
    <n v="1200"/>
    <n v="0"/>
    <n v="960"/>
    <n v="230"/>
  </r>
  <r>
    <x v="410"/>
    <d v="2026-12-16T00:00:00"/>
    <s v="P002"/>
    <x v="0"/>
    <n v="16"/>
    <n v="50"/>
    <n v="0.1"/>
    <n v="5"/>
    <s v="Mechanical Keyboard"/>
    <x v="0"/>
    <n v="40"/>
    <n v="800"/>
    <n v="5"/>
    <n v="640"/>
    <n v="155"/>
  </r>
  <r>
    <x v="411"/>
    <d v="2026-08-21T00:00:00"/>
    <s v="P002"/>
    <x v="0"/>
    <n v="6"/>
    <n v="50"/>
    <n v="0.35"/>
    <n v="5"/>
    <s v="Mechanical Keyboard"/>
    <x v="0"/>
    <n v="40"/>
    <n v="300"/>
    <n v="17.5"/>
    <n v="240"/>
    <n v="55"/>
  </r>
  <r>
    <x v="412"/>
    <d v="2026-09-05T00:00:00"/>
    <s v="P002"/>
    <x v="3"/>
    <n v="1"/>
    <n v="50"/>
    <n v="0.2"/>
    <n v="5"/>
    <s v="Mechanical Keyboard"/>
    <x v="0"/>
    <n v="40"/>
    <n v="50"/>
    <n v="10"/>
    <n v="40"/>
    <n v="5"/>
  </r>
  <r>
    <x v="413"/>
    <d v="2026-09-07T00:00:00"/>
    <s v="P002"/>
    <x v="3"/>
    <n v="6"/>
    <n v="50"/>
    <n v="0"/>
    <n v="10"/>
    <s v="Mechanical Keyboard"/>
    <x v="0"/>
    <n v="40"/>
    <n v="300"/>
    <n v="0"/>
    <n v="240"/>
    <n v="50"/>
  </r>
  <r>
    <x v="414"/>
    <d v="2026-04-17T00:00:00"/>
    <s v="P002"/>
    <x v="2"/>
    <n v="18"/>
    <n v="50"/>
    <n v="0.35"/>
    <n v="10"/>
    <s v="Mechanical Keyboard"/>
    <x v="0"/>
    <n v="40"/>
    <n v="900"/>
    <n v="17.5"/>
    <n v="720"/>
    <n v="170"/>
  </r>
  <r>
    <x v="415"/>
    <d v="2026-10-24T00:00:00"/>
    <s v="P002"/>
    <x v="2"/>
    <n v="24"/>
    <n v="50"/>
    <n v="0.2"/>
    <n v="5"/>
    <s v="Mechanical Keyboard"/>
    <x v="0"/>
    <n v="40"/>
    <n v="1200"/>
    <n v="10"/>
    <n v="960"/>
    <n v="235"/>
  </r>
  <r>
    <x v="416"/>
    <d v="2026-03-14T00:00:00"/>
    <s v="P002"/>
    <x v="1"/>
    <n v="10"/>
    <n v="50"/>
    <n v="0.2"/>
    <n v="10"/>
    <s v="Mechanical Keyboard"/>
    <x v="0"/>
    <n v="40"/>
    <n v="500"/>
    <n v="10"/>
    <n v="400"/>
    <n v="90"/>
  </r>
  <r>
    <x v="417"/>
    <d v="2026-11-06T00:00:00"/>
    <s v="P002"/>
    <x v="1"/>
    <n v="1"/>
    <n v="50"/>
    <n v="0.35"/>
    <n v="5"/>
    <s v="Mechanical Keyboard"/>
    <x v="0"/>
    <n v="40"/>
    <n v="50"/>
    <n v="17.5"/>
    <n v="40"/>
    <n v="5"/>
  </r>
  <r>
    <x v="418"/>
    <d v="2026-07-12T00:00:00"/>
    <s v="P003"/>
    <x v="3"/>
    <n v="24"/>
    <n v="450"/>
    <n v="0.35"/>
    <n v="5"/>
    <s v="Gaming Monitor"/>
    <x v="1"/>
    <n v="150"/>
    <n v="10800"/>
    <n v="157.5"/>
    <n v="3600"/>
    <n v="7195"/>
  </r>
  <r>
    <x v="419"/>
    <d v="2026-04-05T00:00:00"/>
    <s v="P003"/>
    <x v="3"/>
    <n v="12"/>
    <n v="450"/>
    <n v="0"/>
    <n v="10"/>
    <s v="Gaming Monitor"/>
    <x v="1"/>
    <n v="150"/>
    <n v="5400"/>
    <n v="0"/>
    <n v="1800"/>
    <n v="3590"/>
  </r>
  <r>
    <x v="420"/>
    <d v="2026-01-31T00:00:00"/>
    <s v="P003"/>
    <x v="3"/>
    <n v="23"/>
    <n v="450"/>
    <n v="0"/>
    <n v="5"/>
    <s v="Gaming Monitor"/>
    <x v="1"/>
    <n v="150"/>
    <n v="10350"/>
    <n v="0"/>
    <n v="3450"/>
    <n v="6895"/>
  </r>
  <r>
    <x v="421"/>
    <d v="2026-08-25T00:00:00"/>
    <s v="P003"/>
    <x v="0"/>
    <n v="19"/>
    <n v="450"/>
    <n v="0"/>
    <n v="20"/>
    <s v="Gaming Monitor"/>
    <x v="1"/>
    <n v="150"/>
    <n v="8550"/>
    <n v="0"/>
    <n v="2850"/>
    <n v="5680"/>
  </r>
  <r>
    <x v="422"/>
    <d v="2026-04-21T00:00:00"/>
    <s v="P003"/>
    <x v="0"/>
    <n v="8"/>
    <n v="450"/>
    <n v="0.2"/>
    <n v="15"/>
    <s v="Gaming Monitor"/>
    <x v="1"/>
    <n v="150"/>
    <n v="3600"/>
    <n v="90"/>
    <n v="1200"/>
    <n v="2385"/>
  </r>
  <r>
    <x v="423"/>
    <d v="2026-02-27T00:00:00"/>
    <s v="P003"/>
    <x v="0"/>
    <n v="22"/>
    <n v="450"/>
    <n v="0.35"/>
    <n v="10"/>
    <s v="Gaming Monitor"/>
    <x v="1"/>
    <n v="150"/>
    <n v="9900"/>
    <n v="157.5"/>
    <n v="3300"/>
    <n v="6590"/>
  </r>
  <r>
    <x v="424"/>
    <d v="2026-07-14T00:00:00"/>
    <s v="P003"/>
    <x v="2"/>
    <n v="22"/>
    <n v="450"/>
    <n v="0.35"/>
    <n v="10"/>
    <s v="Gaming Monitor"/>
    <x v="1"/>
    <n v="150"/>
    <n v="9900"/>
    <n v="157.5"/>
    <n v="3300"/>
    <n v="6590"/>
  </r>
  <r>
    <x v="425"/>
    <d v="2026-09-18T00:00:00"/>
    <s v="P003"/>
    <x v="1"/>
    <n v="24"/>
    <n v="450"/>
    <n v="0.35"/>
    <n v="5"/>
    <s v="Gaming Monitor"/>
    <x v="1"/>
    <n v="150"/>
    <n v="10800"/>
    <n v="157.5"/>
    <n v="3600"/>
    <n v="7195"/>
  </r>
  <r>
    <x v="426"/>
    <d v="2026-11-30T00:00:00"/>
    <s v="P003"/>
    <x v="0"/>
    <n v="17"/>
    <n v="450"/>
    <n v="0"/>
    <n v="20"/>
    <s v="Gaming Monitor"/>
    <x v="1"/>
    <n v="150"/>
    <n v="7650"/>
    <n v="0"/>
    <n v="2550"/>
    <n v="5080"/>
  </r>
  <r>
    <x v="427"/>
    <d v="2026-07-26T00:00:00"/>
    <s v="P003"/>
    <x v="2"/>
    <n v="16"/>
    <n v="450"/>
    <n v="0"/>
    <n v="15"/>
    <s v="Gaming Monitor"/>
    <x v="1"/>
    <n v="150"/>
    <n v="7200"/>
    <n v="0"/>
    <n v="2400"/>
    <n v="4785"/>
  </r>
  <r>
    <x v="428"/>
    <d v="2026-10-20T00:00:00"/>
    <s v="P003"/>
    <x v="1"/>
    <n v="18"/>
    <n v="450"/>
    <n v="0.1"/>
    <n v="20"/>
    <s v="Gaming Monitor"/>
    <x v="1"/>
    <n v="150"/>
    <n v="8100"/>
    <n v="45"/>
    <n v="2700"/>
    <n v="5380"/>
  </r>
  <r>
    <x v="429"/>
    <d v="2026-03-22T00:00:00"/>
    <s v="P003"/>
    <x v="3"/>
    <n v="5"/>
    <n v="450"/>
    <n v="0.1"/>
    <n v="10"/>
    <s v="Gaming Monitor"/>
    <x v="1"/>
    <n v="150"/>
    <n v="2250"/>
    <n v="45"/>
    <n v="750"/>
    <n v="1490"/>
  </r>
  <r>
    <x v="430"/>
    <d v="2026-06-22T00:00:00"/>
    <s v="P003"/>
    <x v="1"/>
    <n v="8"/>
    <n v="450"/>
    <n v="0"/>
    <n v="15"/>
    <s v="Gaming Monitor"/>
    <x v="1"/>
    <n v="150"/>
    <n v="3600"/>
    <n v="0"/>
    <n v="1200"/>
    <n v="2385"/>
  </r>
  <r>
    <x v="431"/>
    <d v="2026-12-19T00:00:00"/>
    <s v="P003"/>
    <x v="2"/>
    <n v="12"/>
    <n v="450"/>
    <n v="0.35"/>
    <n v="5"/>
    <s v="Gaming Monitor"/>
    <x v="1"/>
    <n v="150"/>
    <n v="5400"/>
    <n v="157.5"/>
    <n v="1800"/>
    <n v="3595"/>
  </r>
  <r>
    <x v="432"/>
    <d v="2026-06-27T00:00:00"/>
    <s v="P003"/>
    <x v="3"/>
    <n v="6"/>
    <n v="450"/>
    <n v="0"/>
    <n v="15"/>
    <s v="Gaming Monitor"/>
    <x v="1"/>
    <n v="150"/>
    <n v="2700"/>
    <n v="0"/>
    <n v="900"/>
    <n v="1785"/>
  </r>
  <r>
    <x v="433"/>
    <d v="2026-05-20T00:00:00"/>
    <s v="P003"/>
    <x v="1"/>
    <n v="7"/>
    <n v="450"/>
    <n v="0"/>
    <n v="20"/>
    <s v="Gaming Monitor"/>
    <x v="1"/>
    <n v="150"/>
    <n v="3150"/>
    <n v="0"/>
    <n v="1050"/>
    <n v="2080"/>
  </r>
  <r>
    <x v="434"/>
    <d v="2026-01-05T00:00:00"/>
    <s v="P003"/>
    <x v="2"/>
    <n v="15"/>
    <n v="450"/>
    <n v="0.1"/>
    <n v="20"/>
    <s v="Gaming Monitor"/>
    <x v="1"/>
    <n v="150"/>
    <n v="6750"/>
    <n v="45"/>
    <n v="2250"/>
    <n v="4480"/>
  </r>
  <r>
    <x v="435"/>
    <d v="2026-09-02T00:00:00"/>
    <s v="P003"/>
    <x v="2"/>
    <n v="1"/>
    <n v="450"/>
    <n v="0.2"/>
    <n v="10"/>
    <s v="Gaming Monitor"/>
    <x v="1"/>
    <n v="150"/>
    <n v="450"/>
    <n v="90"/>
    <n v="150"/>
    <n v="290"/>
  </r>
  <r>
    <x v="436"/>
    <d v="2026-08-05T00:00:00"/>
    <s v="P003"/>
    <x v="2"/>
    <n v="14"/>
    <n v="450"/>
    <n v="0.2"/>
    <n v="10"/>
    <s v="Gaming Monitor"/>
    <x v="1"/>
    <n v="150"/>
    <n v="6300"/>
    <n v="90"/>
    <n v="2100"/>
    <n v="4190"/>
  </r>
  <r>
    <x v="437"/>
    <d v="2026-10-30T00:00:00"/>
    <s v="P003"/>
    <x v="0"/>
    <n v="6"/>
    <n v="450"/>
    <n v="0.35"/>
    <n v="5"/>
    <s v="Gaming Monitor"/>
    <x v="1"/>
    <n v="150"/>
    <n v="2700"/>
    <n v="157.5"/>
    <n v="900"/>
    <n v="1795"/>
  </r>
  <r>
    <x v="438"/>
    <d v="2026-08-10T00:00:00"/>
    <s v="P003"/>
    <x v="0"/>
    <n v="24"/>
    <n v="450"/>
    <n v="0"/>
    <n v="5"/>
    <s v="Gaming Monitor"/>
    <x v="1"/>
    <n v="150"/>
    <n v="10800"/>
    <n v="0"/>
    <n v="3600"/>
    <n v="7195"/>
  </r>
  <r>
    <x v="439"/>
    <d v="2026-08-31T00:00:00"/>
    <s v="P003"/>
    <x v="1"/>
    <n v="21"/>
    <n v="450"/>
    <n v="0.2"/>
    <n v="20"/>
    <s v="Gaming Monitor"/>
    <x v="1"/>
    <n v="150"/>
    <n v="9450"/>
    <n v="90"/>
    <n v="3150"/>
    <n v="6280"/>
  </r>
  <r>
    <x v="440"/>
    <d v="2026-12-14T00:00:00"/>
    <s v="P003"/>
    <x v="3"/>
    <n v="9"/>
    <n v="450"/>
    <n v="0.1"/>
    <n v="20"/>
    <s v="Gaming Monitor"/>
    <x v="1"/>
    <n v="150"/>
    <n v="4050"/>
    <n v="45"/>
    <n v="1350"/>
    <n v="2680"/>
  </r>
  <r>
    <x v="441"/>
    <d v="2026-02-01T00:00:00"/>
    <s v="P003"/>
    <x v="1"/>
    <n v="6"/>
    <n v="450"/>
    <n v="0"/>
    <n v="20"/>
    <s v="Gaming Monitor"/>
    <x v="1"/>
    <n v="150"/>
    <n v="2700"/>
    <n v="0"/>
    <n v="900"/>
    <n v="1780"/>
  </r>
  <r>
    <x v="442"/>
    <d v="2026-03-19T00:00:00"/>
    <s v="P003"/>
    <x v="3"/>
    <n v="15"/>
    <n v="450"/>
    <n v="0"/>
    <n v="15"/>
    <s v="Gaming Monitor"/>
    <x v="1"/>
    <n v="150"/>
    <n v="6750"/>
    <n v="0"/>
    <n v="2250"/>
    <n v="4485"/>
  </r>
  <r>
    <x v="443"/>
    <d v="2026-09-21T00:00:00"/>
    <s v="P003"/>
    <x v="0"/>
    <n v="19"/>
    <n v="450"/>
    <n v="0.2"/>
    <n v="5"/>
    <s v="Gaming Monitor"/>
    <x v="1"/>
    <n v="150"/>
    <n v="8550"/>
    <n v="90"/>
    <n v="2850"/>
    <n v="5695"/>
  </r>
  <r>
    <x v="444"/>
    <d v="2026-09-02T00:00:00"/>
    <s v="P003"/>
    <x v="1"/>
    <n v="10"/>
    <n v="450"/>
    <n v="0.35"/>
    <n v="5"/>
    <s v="Gaming Monitor"/>
    <x v="1"/>
    <n v="150"/>
    <n v="4500"/>
    <n v="157.5"/>
    <n v="1500"/>
    <n v="2995"/>
  </r>
  <r>
    <x v="445"/>
    <d v="2026-07-28T00:00:00"/>
    <s v="P003"/>
    <x v="2"/>
    <n v="14"/>
    <n v="450"/>
    <n v="0"/>
    <n v="15"/>
    <s v="Gaming Monitor"/>
    <x v="1"/>
    <n v="150"/>
    <n v="6300"/>
    <n v="0"/>
    <n v="2100"/>
    <n v="4185"/>
  </r>
  <r>
    <x v="446"/>
    <d v="2026-01-26T00:00:00"/>
    <s v="P003"/>
    <x v="2"/>
    <n v="12"/>
    <n v="450"/>
    <n v="0.2"/>
    <n v="10"/>
    <s v="Gaming Monitor"/>
    <x v="1"/>
    <n v="150"/>
    <n v="5400"/>
    <n v="90"/>
    <n v="1800"/>
    <n v="3590"/>
  </r>
  <r>
    <x v="447"/>
    <d v="2026-04-25T00:00:00"/>
    <s v="P003"/>
    <x v="1"/>
    <n v="18"/>
    <n v="450"/>
    <n v="0.2"/>
    <n v="10"/>
    <s v="Gaming Monitor"/>
    <x v="1"/>
    <n v="150"/>
    <n v="8100"/>
    <n v="90"/>
    <n v="2700"/>
    <n v="5390"/>
  </r>
  <r>
    <x v="448"/>
    <d v="2026-03-21T00:00:00"/>
    <s v="P003"/>
    <x v="3"/>
    <n v="11"/>
    <n v="450"/>
    <n v="0.35"/>
    <n v="5"/>
    <s v="Gaming Monitor"/>
    <x v="1"/>
    <n v="150"/>
    <n v="4950"/>
    <n v="157.5"/>
    <n v="1650"/>
    <n v="3295"/>
  </r>
  <r>
    <x v="449"/>
    <d v="2026-07-07T00:00:00"/>
    <s v="P003"/>
    <x v="2"/>
    <n v="10"/>
    <n v="450"/>
    <n v="0"/>
    <n v="5"/>
    <s v="Gaming Monitor"/>
    <x v="1"/>
    <n v="150"/>
    <n v="4500"/>
    <n v="0"/>
    <n v="1500"/>
    <n v="2995"/>
  </r>
  <r>
    <x v="450"/>
    <d v="2026-04-12T00:00:00"/>
    <s v="P003"/>
    <x v="0"/>
    <n v="24"/>
    <n v="450"/>
    <n v="0.2"/>
    <n v="20"/>
    <s v="Gaming Monitor"/>
    <x v="1"/>
    <n v="150"/>
    <n v="10800"/>
    <n v="90"/>
    <n v="3600"/>
    <n v="7180"/>
  </r>
  <r>
    <x v="451"/>
    <d v="2026-09-28T00:00:00"/>
    <s v="P003"/>
    <x v="1"/>
    <n v="5"/>
    <n v="450"/>
    <n v="0.35"/>
    <n v="5"/>
    <s v="Gaming Monitor"/>
    <x v="1"/>
    <n v="150"/>
    <n v="2250"/>
    <n v="157.5"/>
    <n v="750"/>
    <n v="1495"/>
  </r>
  <r>
    <x v="452"/>
    <d v="2026-05-30T00:00:00"/>
    <s v="P003"/>
    <x v="0"/>
    <n v="25"/>
    <n v="450"/>
    <n v="0.2"/>
    <n v="10"/>
    <s v="Gaming Monitor"/>
    <x v="1"/>
    <n v="150"/>
    <n v="11250"/>
    <n v="90"/>
    <n v="3750"/>
    <n v="7490"/>
  </r>
  <r>
    <x v="453"/>
    <d v="2026-03-09T00:00:00"/>
    <s v="P003"/>
    <x v="1"/>
    <n v="9"/>
    <n v="450"/>
    <n v="0.2"/>
    <n v="15"/>
    <s v="Gaming Monitor"/>
    <x v="1"/>
    <n v="150"/>
    <n v="4050"/>
    <n v="90"/>
    <n v="1350"/>
    <n v="2685"/>
  </r>
  <r>
    <x v="454"/>
    <d v="2026-08-22T00:00:00"/>
    <s v="P003"/>
    <x v="3"/>
    <n v="5"/>
    <n v="450"/>
    <n v="0.35"/>
    <n v="20"/>
    <s v="Gaming Monitor"/>
    <x v="1"/>
    <n v="150"/>
    <n v="2250"/>
    <n v="157.5"/>
    <n v="750"/>
    <n v="1480"/>
  </r>
  <r>
    <x v="455"/>
    <d v="2026-02-25T00:00:00"/>
    <s v="P003"/>
    <x v="1"/>
    <n v="23"/>
    <n v="450"/>
    <n v="0.2"/>
    <n v="15"/>
    <s v="Gaming Monitor"/>
    <x v="1"/>
    <n v="150"/>
    <n v="10350"/>
    <n v="90"/>
    <n v="3450"/>
    <n v="6885"/>
  </r>
  <r>
    <x v="456"/>
    <d v="2026-06-23T00:00:00"/>
    <s v="P003"/>
    <x v="0"/>
    <n v="25"/>
    <n v="450"/>
    <n v="0.1"/>
    <n v="10"/>
    <s v="Gaming Monitor"/>
    <x v="1"/>
    <n v="150"/>
    <n v="11250"/>
    <n v="45"/>
    <n v="3750"/>
    <n v="7490"/>
  </r>
  <r>
    <x v="457"/>
    <d v="2026-11-19T00:00:00"/>
    <s v="P003"/>
    <x v="3"/>
    <n v="25"/>
    <n v="450"/>
    <n v="0.2"/>
    <n v="20"/>
    <s v="Gaming Monitor"/>
    <x v="1"/>
    <n v="150"/>
    <n v="11250"/>
    <n v="90"/>
    <n v="3750"/>
    <n v="7480"/>
  </r>
  <r>
    <x v="458"/>
    <d v="2026-03-06T00:00:00"/>
    <s v="P003"/>
    <x v="3"/>
    <n v="12"/>
    <n v="450"/>
    <n v="0"/>
    <n v="20"/>
    <s v="Gaming Monitor"/>
    <x v="1"/>
    <n v="150"/>
    <n v="5400"/>
    <n v="0"/>
    <n v="1800"/>
    <n v="3580"/>
  </r>
  <r>
    <x v="459"/>
    <d v="2026-03-29T00:00:00"/>
    <s v="P003"/>
    <x v="2"/>
    <n v="15"/>
    <n v="450"/>
    <n v="0"/>
    <n v="5"/>
    <s v="Gaming Monitor"/>
    <x v="1"/>
    <n v="150"/>
    <n v="6750"/>
    <n v="0"/>
    <n v="2250"/>
    <n v="4495"/>
  </r>
  <r>
    <x v="460"/>
    <d v="2026-04-23T00:00:00"/>
    <s v="P003"/>
    <x v="3"/>
    <n v="21"/>
    <n v="450"/>
    <n v="0.2"/>
    <n v="10"/>
    <s v="Gaming Monitor"/>
    <x v="1"/>
    <n v="150"/>
    <n v="9450"/>
    <n v="90"/>
    <n v="3150"/>
    <n v="6290"/>
  </r>
  <r>
    <x v="461"/>
    <d v="2026-07-16T00:00:00"/>
    <s v="P003"/>
    <x v="3"/>
    <n v="20"/>
    <n v="450"/>
    <n v="0.1"/>
    <n v="10"/>
    <s v="Gaming Monitor"/>
    <x v="1"/>
    <n v="150"/>
    <n v="9000"/>
    <n v="45"/>
    <n v="3000"/>
    <n v="5990"/>
  </r>
  <r>
    <x v="462"/>
    <d v="2026-07-28T00:00:00"/>
    <s v="P003"/>
    <x v="0"/>
    <n v="9"/>
    <n v="450"/>
    <n v="0"/>
    <n v="5"/>
    <s v="Gaming Monitor"/>
    <x v="1"/>
    <n v="150"/>
    <n v="4050"/>
    <n v="0"/>
    <n v="1350"/>
    <n v="2695"/>
  </r>
  <r>
    <x v="463"/>
    <d v="2026-06-22T00:00:00"/>
    <s v="P003"/>
    <x v="3"/>
    <n v="10"/>
    <n v="450"/>
    <n v="0.35"/>
    <n v="20"/>
    <s v="Gaming Monitor"/>
    <x v="1"/>
    <n v="150"/>
    <n v="4500"/>
    <n v="157.5"/>
    <n v="1500"/>
    <n v="2980"/>
  </r>
  <r>
    <x v="464"/>
    <d v="2026-07-12T00:00:00"/>
    <s v="P003"/>
    <x v="1"/>
    <n v="24"/>
    <n v="450"/>
    <n v="0.2"/>
    <n v="10"/>
    <s v="Gaming Monitor"/>
    <x v="1"/>
    <n v="150"/>
    <n v="10800"/>
    <n v="90"/>
    <n v="3600"/>
    <n v="7190"/>
  </r>
  <r>
    <x v="465"/>
    <d v="2026-04-01T00:00:00"/>
    <s v="P003"/>
    <x v="0"/>
    <n v="17"/>
    <n v="450"/>
    <n v="0.35"/>
    <n v="15"/>
    <s v="Gaming Monitor"/>
    <x v="1"/>
    <n v="150"/>
    <n v="7650"/>
    <n v="157.5"/>
    <n v="2550"/>
    <n v="5085"/>
  </r>
  <r>
    <x v="466"/>
    <d v="2026-08-11T00:00:00"/>
    <s v="P003"/>
    <x v="3"/>
    <n v="18"/>
    <n v="450"/>
    <n v="0.1"/>
    <n v="5"/>
    <s v="Gaming Monitor"/>
    <x v="1"/>
    <n v="150"/>
    <n v="8100"/>
    <n v="45"/>
    <n v="2700"/>
    <n v="5395"/>
  </r>
  <r>
    <x v="467"/>
    <d v="2026-03-10T00:00:00"/>
    <s v="P003"/>
    <x v="2"/>
    <n v="10"/>
    <n v="450"/>
    <n v="0.2"/>
    <n v="10"/>
    <s v="Gaming Monitor"/>
    <x v="1"/>
    <n v="150"/>
    <n v="4500"/>
    <n v="90"/>
    <n v="1500"/>
    <n v="2990"/>
  </r>
  <r>
    <x v="468"/>
    <d v="2026-01-11T00:00:00"/>
    <s v="P003"/>
    <x v="1"/>
    <n v="20"/>
    <n v="450"/>
    <n v="0.35"/>
    <n v="20"/>
    <s v="Gaming Monitor"/>
    <x v="1"/>
    <n v="150"/>
    <n v="9000"/>
    <n v="157.5"/>
    <n v="3000"/>
    <n v="5980"/>
  </r>
  <r>
    <x v="469"/>
    <d v="2026-10-09T00:00:00"/>
    <s v="P003"/>
    <x v="3"/>
    <n v="8"/>
    <n v="450"/>
    <n v="0.2"/>
    <n v="20"/>
    <s v="Gaming Monitor"/>
    <x v="1"/>
    <n v="150"/>
    <n v="3600"/>
    <n v="90"/>
    <n v="1200"/>
    <n v="2380"/>
  </r>
  <r>
    <x v="470"/>
    <d v="2026-02-23T00:00:00"/>
    <s v="P003"/>
    <x v="3"/>
    <n v="6"/>
    <n v="450"/>
    <n v="0.35"/>
    <n v="5"/>
    <s v="Gaming Monitor"/>
    <x v="1"/>
    <n v="150"/>
    <n v="2700"/>
    <n v="157.5"/>
    <n v="900"/>
    <n v="1795"/>
  </r>
  <r>
    <x v="471"/>
    <d v="2026-10-26T00:00:00"/>
    <s v="P003"/>
    <x v="0"/>
    <n v="3"/>
    <n v="450"/>
    <n v="0"/>
    <n v="10"/>
    <s v="Gaming Monitor"/>
    <x v="1"/>
    <n v="150"/>
    <n v="1350"/>
    <n v="0"/>
    <n v="450"/>
    <n v="890"/>
  </r>
  <r>
    <x v="472"/>
    <d v="2026-02-04T00:00:00"/>
    <s v="P003"/>
    <x v="2"/>
    <n v="22"/>
    <n v="450"/>
    <n v="0.35"/>
    <n v="10"/>
    <s v="Gaming Monitor"/>
    <x v="1"/>
    <n v="150"/>
    <n v="9900"/>
    <n v="157.5"/>
    <n v="3300"/>
    <n v="6590"/>
  </r>
  <r>
    <x v="473"/>
    <d v="2026-07-08T00:00:00"/>
    <s v="P003"/>
    <x v="3"/>
    <n v="2"/>
    <n v="450"/>
    <n v="0.1"/>
    <n v="5"/>
    <s v="Gaming Monitor"/>
    <x v="1"/>
    <n v="150"/>
    <n v="900"/>
    <n v="45"/>
    <n v="300"/>
    <n v="595"/>
  </r>
  <r>
    <x v="474"/>
    <d v="2026-07-01T00:00:00"/>
    <s v="P003"/>
    <x v="0"/>
    <n v="10"/>
    <n v="450"/>
    <n v="0.1"/>
    <n v="15"/>
    <s v="Gaming Monitor"/>
    <x v="1"/>
    <n v="150"/>
    <n v="4500"/>
    <n v="45"/>
    <n v="1500"/>
    <n v="2985"/>
  </r>
  <r>
    <x v="475"/>
    <d v="2026-01-15T00:00:00"/>
    <s v="P003"/>
    <x v="2"/>
    <n v="3"/>
    <n v="450"/>
    <n v="0.35"/>
    <n v="15"/>
    <s v="Gaming Monitor"/>
    <x v="1"/>
    <n v="150"/>
    <n v="1350"/>
    <n v="157.5"/>
    <n v="450"/>
    <n v="885"/>
  </r>
  <r>
    <x v="476"/>
    <d v="2026-07-27T00:00:00"/>
    <s v="P003"/>
    <x v="1"/>
    <n v="16"/>
    <n v="450"/>
    <n v="0.2"/>
    <n v="5"/>
    <s v="Gaming Monitor"/>
    <x v="1"/>
    <n v="150"/>
    <n v="7200"/>
    <n v="90"/>
    <n v="2400"/>
    <n v="4795"/>
  </r>
  <r>
    <x v="477"/>
    <d v="2026-03-15T00:00:00"/>
    <s v="P003"/>
    <x v="0"/>
    <n v="23"/>
    <n v="450"/>
    <n v="0"/>
    <n v="20"/>
    <s v="Gaming Monitor"/>
    <x v="1"/>
    <n v="150"/>
    <n v="10350"/>
    <n v="0"/>
    <n v="3450"/>
    <n v="6880"/>
  </r>
  <r>
    <x v="478"/>
    <d v="2026-03-19T00:00:00"/>
    <s v="P003"/>
    <x v="1"/>
    <n v="20"/>
    <n v="450"/>
    <n v="0"/>
    <n v="10"/>
    <s v="Gaming Monitor"/>
    <x v="1"/>
    <n v="150"/>
    <n v="9000"/>
    <n v="0"/>
    <n v="3000"/>
    <n v="5990"/>
  </r>
  <r>
    <x v="479"/>
    <d v="2026-01-22T00:00:00"/>
    <s v="P003"/>
    <x v="1"/>
    <n v="13"/>
    <n v="450"/>
    <n v="0.1"/>
    <n v="20"/>
    <s v="Gaming Monitor"/>
    <x v="1"/>
    <n v="150"/>
    <n v="5850"/>
    <n v="45"/>
    <n v="1950"/>
    <n v="3880"/>
  </r>
  <r>
    <x v="480"/>
    <d v="2026-02-03T00:00:00"/>
    <s v="P003"/>
    <x v="2"/>
    <n v="24"/>
    <n v="450"/>
    <n v="0.2"/>
    <n v="15"/>
    <s v="Gaming Monitor"/>
    <x v="1"/>
    <n v="150"/>
    <n v="10800"/>
    <n v="90"/>
    <n v="3600"/>
    <n v="7185"/>
  </r>
  <r>
    <x v="481"/>
    <d v="2026-07-07T00:00:00"/>
    <s v="P003"/>
    <x v="0"/>
    <n v="20"/>
    <n v="450"/>
    <n v="0.1"/>
    <n v="15"/>
    <s v="Gaming Monitor"/>
    <x v="1"/>
    <n v="150"/>
    <n v="9000"/>
    <n v="45"/>
    <n v="3000"/>
    <n v="5985"/>
  </r>
  <r>
    <x v="482"/>
    <d v="2026-10-07T00:00:00"/>
    <s v="P003"/>
    <x v="0"/>
    <n v="16"/>
    <n v="450"/>
    <n v="0"/>
    <n v="20"/>
    <s v="Gaming Monitor"/>
    <x v="1"/>
    <n v="150"/>
    <n v="7200"/>
    <n v="0"/>
    <n v="2400"/>
    <n v="4780"/>
  </r>
  <r>
    <x v="483"/>
    <d v="2026-03-01T00:00:00"/>
    <s v="P003"/>
    <x v="0"/>
    <n v="2"/>
    <n v="450"/>
    <n v="0.1"/>
    <n v="20"/>
    <s v="Gaming Monitor"/>
    <x v="1"/>
    <n v="150"/>
    <n v="900"/>
    <n v="45"/>
    <n v="300"/>
    <n v="580"/>
  </r>
  <r>
    <x v="484"/>
    <d v="2026-01-23T00:00:00"/>
    <s v="P003"/>
    <x v="1"/>
    <n v="23"/>
    <n v="450"/>
    <n v="0"/>
    <n v="10"/>
    <s v="Gaming Monitor"/>
    <x v="1"/>
    <n v="150"/>
    <n v="10350"/>
    <n v="0"/>
    <n v="3450"/>
    <n v="6890"/>
  </r>
  <r>
    <x v="485"/>
    <d v="2026-04-14T00:00:00"/>
    <s v="P003"/>
    <x v="3"/>
    <n v="1"/>
    <n v="450"/>
    <n v="0.35"/>
    <n v="20"/>
    <s v="Gaming Monitor"/>
    <x v="1"/>
    <n v="150"/>
    <n v="450"/>
    <n v="157.5"/>
    <n v="150"/>
    <n v="280"/>
  </r>
  <r>
    <x v="486"/>
    <d v="2026-11-02T00:00:00"/>
    <s v="P003"/>
    <x v="1"/>
    <n v="9"/>
    <n v="450"/>
    <n v="0"/>
    <n v="20"/>
    <s v="Gaming Monitor"/>
    <x v="1"/>
    <n v="150"/>
    <n v="4050"/>
    <n v="0"/>
    <n v="1350"/>
    <n v="2680"/>
  </r>
  <r>
    <x v="487"/>
    <d v="2026-12-30T00:00:00"/>
    <s v="P003"/>
    <x v="1"/>
    <n v="24"/>
    <n v="450"/>
    <n v="0"/>
    <n v="5"/>
    <s v="Gaming Monitor"/>
    <x v="1"/>
    <n v="150"/>
    <n v="10800"/>
    <n v="0"/>
    <n v="3600"/>
    <n v="7195"/>
  </r>
  <r>
    <x v="488"/>
    <d v="2026-11-16T00:00:00"/>
    <s v="P003"/>
    <x v="0"/>
    <n v="2"/>
    <n v="450"/>
    <n v="0.2"/>
    <n v="20"/>
    <s v="Gaming Monitor"/>
    <x v="1"/>
    <n v="150"/>
    <n v="900"/>
    <n v="90"/>
    <n v="300"/>
    <n v="580"/>
  </r>
  <r>
    <x v="489"/>
    <d v="2026-08-20T00:00:00"/>
    <s v="P003"/>
    <x v="1"/>
    <n v="2"/>
    <n v="450"/>
    <n v="0.35"/>
    <n v="5"/>
    <s v="Gaming Monitor"/>
    <x v="1"/>
    <n v="150"/>
    <n v="900"/>
    <n v="157.5"/>
    <n v="300"/>
    <n v="595"/>
  </r>
  <r>
    <x v="490"/>
    <d v="2026-09-06T00:00:00"/>
    <s v="P003"/>
    <x v="2"/>
    <n v="5"/>
    <n v="450"/>
    <n v="0.2"/>
    <n v="10"/>
    <s v="Gaming Monitor"/>
    <x v="1"/>
    <n v="150"/>
    <n v="2250"/>
    <n v="90"/>
    <n v="750"/>
    <n v="1490"/>
  </r>
  <r>
    <x v="491"/>
    <d v="2026-12-04T00:00:00"/>
    <s v="P003"/>
    <x v="2"/>
    <n v="21"/>
    <n v="450"/>
    <n v="0.1"/>
    <n v="15"/>
    <s v="Gaming Monitor"/>
    <x v="1"/>
    <n v="150"/>
    <n v="9450"/>
    <n v="45"/>
    <n v="3150"/>
    <n v="6285"/>
  </r>
  <r>
    <x v="492"/>
    <d v="2026-02-21T00:00:00"/>
    <s v="P003"/>
    <x v="0"/>
    <n v="13"/>
    <n v="450"/>
    <n v="0.1"/>
    <n v="20"/>
    <s v="Gaming Monitor"/>
    <x v="1"/>
    <n v="150"/>
    <n v="5850"/>
    <n v="45"/>
    <n v="1950"/>
    <n v="3880"/>
  </r>
  <r>
    <x v="493"/>
    <d v="2026-08-23T00:00:00"/>
    <s v="P003"/>
    <x v="3"/>
    <n v="1"/>
    <n v="450"/>
    <n v="0.2"/>
    <n v="5"/>
    <s v="Gaming Monitor"/>
    <x v="1"/>
    <n v="150"/>
    <n v="450"/>
    <n v="90"/>
    <n v="150"/>
    <n v="295"/>
  </r>
  <r>
    <x v="494"/>
    <d v="2026-07-22T00:00:00"/>
    <s v="P003"/>
    <x v="0"/>
    <n v="5"/>
    <n v="450"/>
    <n v="0.1"/>
    <n v="15"/>
    <s v="Gaming Monitor"/>
    <x v="1"/>
    <n v="150"/>
    <n v="2250"/>
    <n v="45"/>
    <n v="750"/>
    <n v="1485"/>
  </r>
  <r>
    <x v="495"/>
    <d v="2026-08-09T00:00:00"/>
    <s v="P003"/>
    <x v="1"/>
    <n v="12"/>
    <n v="450"/>
    <n v="0"/>
    <n v="5"/>
    <s v="Gaming Monitor"/>
    <x v="1"/>
    <n v="150"/>
    <n v="5400"/>
    <n v="0"/>
    <n v="1800"/>
    <n v="3595"/>
  </r>
  <r>
    <x v="496"/>
    <d v="2026-02-28T00:00:00"/>
    <s v="P003"/>
    <x v="0"/>
    <n v="7"/>
    <n v="450"/>
    <n v="0.1"/>
    <n v="15"/>
    <s v="Gaming Monitor"/>
    <x v="1"/>
    <n v="150"/>
    <n v="3150"/>
    <n v="45"/>
    <n v="1050"/>
    <n v="2085"/>
  </r>
  <r>
    <x v="497"/>
    <d v="2026-06-28T00:00:00"/>
    <s v="P003"/>
    <x v="3"/>
    <n v="6"/>
    <n v="450"/>
    <n v="0.2"/>
    <n v="20"/>
    <s v="Gaming Monitor"/>
    <x v="1"/>
    <n v="150"/>
    <n v="2700"/>
    <n v="90"/>
    <n v="900"/>
    <n v="1780"/>
  </r>
  <r>
    <x v="498"/>
    <d v="2026-06-27T00:00:00"/>
    <s v="P003"/>
    <x v="2"/>
    <n v="20"/>
    <n v="450"/>
    <n v="0"/>
    <n v="5"/>
    <s v="Gaming Monitor"/>
    <x v="1"/>
    <n v="150"/>
    <n v="9000"/>
    <n v="0"/>
    <n v="3000"/>
    <n v="5995"/>
  </r>
  <r>
    <x v="499"/>
    <d v="2026-04-06T00:00:00"/>
    <s v="P003"/>
    <x v="2"/>
    <n v="4"/>
    <n v="450"/>
    <n v="0"/>
    <n v="20"/>
    <s v="Gaming Monitor"/>
    <x v="1"/>
    <n v="150"/>
    <n v="1800"/>
    <n v="0"/>
    <n v="600"/>
    <n v="1180"/>
  </r>
  <r>
    <x v="500"/>
    <d v="2026-02-11T00:00:00"/>
    <s v="P003"/>
    <x v="1"/>
    <n v="3"/>
    <n v="450"/>
    <n v="0.1"/>
    <n v="5"/>
    <s v="Gaming Monitor"/>
    <x v="1"/>
    <n v="150"/>
    <n v="1350"/>
    <n v="45"/>
    <n v="450"/>
    <n v="895"/>
  </r>
  <r>
    <x v="501"/>
    <d v="2026-06-29T00:00:00"/>
    <s v="P003"/>
    <x v="0"/>
    <n v="21"/>
    <n v="450"/>
    <n v="0"/>
    <n v="20"/>
    <s v="Gaming Monitor"/>
    <x v="1"/>
    <n v="150"/>
    <n v="9450"/>
    <n v="0"/>
    <n v="3150"/>
    <n v="6280"/>
  </r>
  <r>
    <x v="502"/>
    <d v="2026-03-07T00:00:00"/>
    <s v="P003"/>
    <x v="3"/>
    <n v="13"/>
    <n v="450"/>
    <n v="0"/>
    <n v="15"/>
    <s v="Gaming Monitor"/>
    <x v="1"/>
    <n v="150"/>
    <n v="5850"/>
    <n v="0"/>
    <n v="1950"/>
    <n v="3885"/>
  </r>
  <r>
    <x v="503"/>
    <d v="2026-09-14T00:00:00"/>
    <s v="P003"/>
    <x v="0"/>
    <n v="8"/>
    <n v="450"/>
    <n v="0.35"/>
    <n v="20"/>
    <s v="Gaming Monitor"/>
    <x v="1"/>
    <n v="150"/>
    <n v="3600"/>
    <n v="157.5"/>
    <n v="1200"/>
    <n v="2380"/>
  </r>
  <r>
    <x v="504"/>
    <d v="2026-06-06T00:00:00"/>
    <s v="P003"/>
    <x v="2"/>
    <n v="15"/>
    <n v="450"/>
    <n v="0.2"/>
    <n v="10"/>
    <s v="Gaming Monitor"/>
    <x v="1"/>
    <n v="150"/>
    <n v="6750"/>
    <n v="90"/>
    <n v="2250"/>
    <n v="4490"/>
  </r>
  <r>
    <x v="505"/>
    <d v="2026-06-11T00:00:00"/>
    <s v="P003"/>
    <x v="1"/>
    <n v="19"/>
    <n v="450"/>
    <n v="0"/>
    <n v="5"/>
    <s v="Gaming Monitor"/>
    <x v="1"/>
    <n v="150"/>
    <n v="8550"/>
    <n v="0"/>
    <n v="2850"/>
    <n v="5695"/>
  </r>
  <r>
    <x v="506"/>
    <d v="2026-08-12T00:00:00"/>
    <s v="P003"/>
    <x v="3"/>
    <n v="15"/>
    <n v="450"/>
    <n v="0.2"/>
    <n v="20"/>
    <s v="Gaming Monitor"/>
    <x v="1"/>
    <n v="150"/>
    <n v="6750"/>
    <n v="90"/>
    <n v="2250"/>
    <n v="4480"/>
  </r>
  <r>
    <x v="507"/>
    <d v="2026-03-04T00:00:00"/>
    <s v="P003"/>
    <x v="2"/>
    <n v="11"/>
    <n v="450"/>
    <n v="0.1"/>
    <n v="10"/>
    <s v="Gaming Monitor"/>
    <x v="1"/>
    <n v="150"/>
    <n v="4950"/>
    <n v="45"/>
    <n v="1650"/>
    <n v="3290"/>
  </r>
  <r>
    <x v="508"/>
    <d v="2026-07-01T00:00:00"/>
    <s v="P003"/>
    <x v="3"/>
    <n v="4"/>
    <n v="450"/>
    <n v="0.35"/>
    <n v="5"/>
    <s v="Gaming Monitor"/>
    <x v="1"/>
    <n v="150"/>
    <n v="1800"/>
    <n v="157.5"/>
    <n v="600"/>
    <n v="1195"/>
  </r>
  <r>
    <x v="509"/>
    <d v="2026-11-19T00:00:00"/>
    <s v="P003"/>
    <x v="0"/>
    <n v="18"/>
    <n v="450"/>
    <n v="0.1"/>
    <n v="20"/>
    <s v="Gaming Monitor"/>
    <x v="1"/>
    <n v="150"/>
    <n v="8100"/>
    <n v="45"/>
    <n v="2700"/>
    <n v="5380"/>
  </r>
  <r>
    <x v="510"/>
    <d v="2026-04-10T00:00:00"/>
    <s v="P003"/>
    <x v="3"/>
    <n v="8"/>
    <n v="450"/>
    <n v="0.2"/>
    <n v="10"/>
    <s v="Gaming Monitor"/>
    <x v="1"/>
    <n v="150"/>
    <n v="3600"/>
    <n v="90"/>
    <n v="1200"/>
    <n v="2390"/>
  </r>
  <r>
    <x v="511"/>
    <d v="2026-04-09T00:00:00"/>
    <s v="P003"/>
    <x v="0"/>
    <n v="8"/>
    <n v="450"/>
    <n v="0.1"/>
    <n v="20"/>
    <s v="Gaming Monitor"/>
    <x v="1"/>
    <n v="150"/>
    <n v="3600"/>
    <n v="45"/>
    <n v="1200"/>
    <n v="2380"/>
  </r>
  <r>
    <x v="512"/>
    <d v="2026-12-26T00:00:00"/>
    <s v="P003"/>
    <x v="2"/>
    <n v="20"/>
    <n v="450"/>
    <n v="0.35"/>
    <n v="10"/>
    <s v="Gaming Monitor"/>
    <x v="1"/>
    <n v="150"/>
    <n v="9000"/>
    <n v="157.5"/>
    <n v="3000"/>
    <n v="5990"/>
  </r>
  <r>
    <x v="513"/>
    <d v="2026-02-05T00:00:00"/>
    <s v="P003"/>
    <x v="1"/>
    <n v="6"/>
    <n v="450"/>
    <n v="0.1"/>
    <n v="5"/>
    <s v="Gaming Monitor"/>
    <x v="1"/>
    <n v="150"/>
    <n v="2700"/>
    <n v="45"/>
    <n v="900"/>
    <n v="1795"/>
  </r>
  <r>
    <x v="514"/>
    <d v="2026-12-09T00:00:00"/>
    <s v="P003"/>
    <x v="2"/>
    <n v="7"/>
    <n v="450"/>
    <n v="0.35"/>
    <n v="5"/>
    <s v="Gaming Monitor"/>
    <x v="1"/>
    <n v="150"/>
    <n v="3150"/>
    <n v="157.5"/>
    <n v="1050"/>
    <n v="2095"/>
  </r>
  <r>
    <x v="515"/>
    <d v="2026-12-15T00:00:00"/>
    <s v="P003"/>
    <x v="1"/>
    <n v="24"/>
    <n v="450"/>
    <n v="0"/>
    <n v="20"/>
    <s v="Gaming Monitor"/>
    <x v="1"/>
    <n v="150"/>
    <n v="10800"/>
    <n v="0"/>
    <n v="3600"/>
    <n v="7180"/>
  </r>
  <r>
    <x v="516"/>
    <d v="2026-09-30T00:00:00"/>
    <s v="P003"/>
    <x v="3"/>
    <n v="16"/>
    <n v="450"/>
    <n v="0.35"/>
    <n v="5"/>
    <s v="Gaming Monitor"/>
    <x v="1"/>
    <n v="150"/>
    <n v="7200"/>
    <n v="157.5"/>
    <n v="2400"/>
    <n v="4795"/>
  </r>
  <r>
    <x v="517"/>
    <d v="2026-05-11T00:00:00"/>
    <s v="P003"/>
    <x v="1"/>
    <n v="12"/>
    <n v="450"/>
    <n v="0.35"/>
    <n v="15"/>
    <s v="Gaming Monitor"/>
    <x v="1"/>
    <n v="150"/>
    <n v="5400"/>
    <n v="157.5"/>
    <n v="1800"/>
    <n v="3585"/>
  </r>
  <r>
    <x v="518"/>
    <d v="2026-09-02T00:00:00"/>
    <s v="P003"/>
    <x v="2"/>
    <n v="1"/>
    <n v="450"/>
    <n v="0.35"/>
    <n v="20"/>
    <s v="Gaming Monitor"/>
    <x v="1"/>
    <n v="150"/>
    <n v="450"/>
    <n v="157.5"/>
    <n v="150"/>
    <n v="280"/>
  </r>
  <r>
    <x v="519"/>
    <d v="2026-02-12T00:00:00"/>
    <s v="P003"/>
    <x v="1"/>
    <n v="19"/>
    <n v="450"/>
    <n v="0.2"/>
    <n v="10"/>
    <s v="Gaming Monitor"/>
    <x v="1"/>
    <n v="150"/>
    <n v="8550"/>
    <n v="90"/>
    <n v="2850"/>
    <n v="5690"/>
  </r>
  <r>
    <x v="520"/>
    <d v="2026-09-02T00:00:00"/>
    <s v="P003"/>
    <x v="1"/>
    <n v="23"/>
    <n v="450"/>
    <n v="0.2"/>
    <n v="5"/>
    <s v="Gaming Monitor"/>
    <x v="1"/>
    <n v="150"/>
    <n v="10350"/>
    <n v="90"/>
    <n v="3450"/>
    <n v="6895"/>
  </r>
  <r>
    <x v="521"/>
    <d v="2026-07-27T00:00:00"/>
    <s v="P003"/>
    <x v="1"/>
    <n v="25"/>
    <n v="450"/>
    <n v="0.1"/>
    <n v="5"/>
    <s v="Gaming Monitor"/>
    <x v="1"/>
    <n v="150"/>
    <n v="11250"/>
    <n v="45"/>
    <n v="3750"/>
    <n v="7495"/>
  </r>
  <r>
    <x v="522"/>
    <d v="2026-03-26T00:00:00"/>
    <s v="P003"/>
    <x v="0"/>
    <n v="24"/>
    <n v="450"/>
    <n v="0"/>
    <n v="20"/>
    <s v="Gaming Monitor"/>
    <x v="1"/>
    <n v="150"/>
    <n v="10800"/>
    <n v="0"/>
    <n v="3600"/>
    <n v="7180"/>
  </r>
  <r>
    <x v="523"/>
    <d v="2026-08-15T00:00:00"/>
    <s v="P003"/>
    <x v="3"/>
    <n v="5"/>
    <n v="450"/>
    <n v="0.1"/>
    <n v="20"/>
    <s v="Gaming Monitor"/>
    <x v="1"/>
    <n v="150"/>
    <n v="2250"/>
    <n v="45"/>
    <n v="750"/>
    <n v="1480"/>
  </r>
  <r>
    <x v="524"/>
    <d v="2026-01-23T00:00:00"/>
    <s v="P003"/>
    <x v="1"/>
    <n v="4"/>
    <n v="450"/>
    <n v="0"/>
    <n v="15"/>
    <s v="Gaming Monitor"/>
    <x v="1"/>
    <n v="150"/>
    <n v="1800"/>
    <n v="0"/>
    <n v="600"/>
    <n v="1185"/>
  </r>
  <r>
    <x v="525"/>
    <d v="2026-02-15T00:00:00"/>
    <s v="P003"/>
    <x v="3"/>
    <n v="4"/>
    <n v="450"/>
    <n v="0.1"/>
    <n v="5"/>
    <s v="Gaming Monitor"/>
    <x v="1"/>
    <n v="150"/>
    <n v="1800"/>
    <n v="45"/>
    <n v="600"/>
    <n v="1195"/>
  </r>
  <r>
    <x v="526"/>
    <d v="2026-11-15T00:00:00"/>
    <s v="P003"/>
    <x v="0"/>
    <n v="16"/>
    <n v="450"/>
    <n v="0.1"/>
    <n v="15"/>
    <s v="Gaming Monitor"/>
    <x v="1"/>
    <n v="150"/>
    <n v="7200"/>
    <n v="45"/>
    <n v="2400"/>
    <n v="4785"/>
  </r>
  <r>
    <x v="527"/>
    <d v="2026-01-04T00:00:00"/>
    <s v="P003"/>
    <x v="0"/>
    <n v="20"/>
    <n v="450"/>
    <n v="0.1"/>
    <n v="5"/>
    <s v="Gaming Monitor"/>
    <x v="1"/>
    <n v="150"/>
    <n v="9000"/>
    <n v="45"/>
    <n v="3000"/>
    <n v="5995"/>
  </r>
  <r>
    <x v="528"/>
    <d v="2026-07-04T00:00:00"/>
    <s v="P003"/>
    <x v="0"/>
    <n v="20"/>
    <n v="450"/>
    <n v="0"/>
    <n v="15"/>
    <s v="Gaming Monitor"/>
    <x v="1"/>
    <n v="150"/>
    <n v="9000"/>
    <n v="0"/>
    <n v="3000"/>
    <n v="5985"/>
  </r>
  <r>
    <x v="529"/>
    <d v="2026-06-12T00:00:00"/>
    <s v="P003"/>
    <x v="1"/>
    <n v="12"/>
    <n v="450"/>
    <n v="0"/>
    <n v="15"/>
    <s v="Gaming Monitor"/>
    <x v="1"/>
    <n v="150"/>
    <n v="5400"/>
    <n v="0"/>
    <n v="1800"/>
    <n v="3585"/>
  </r>
  <r>
    <x v="530"/>
    <d v="2026-06-17T00:00:00"/>
    <s v="P003"/>
    <x v="3"/>
    <n v="21"/>
    <n v="450"/>
    <n v="0.35"/>
    <n v="5"/>
    <s v="Gaming Monitor"/>
    <x v="1"/>
    <n v="150"/>
    <n v="9450"/>
    <n v="157.5"/>
    <n v="3150"/>
    <n v="6295"/>
  </r>
  <r>
    <x v="531"/>
    <d v="2026-04-13T00:00:00"/>
    <s v="P003"/>
    <x v="0"/>
    <n v="7"/>
    <n v="450"/>
    <n v="0.2"/>
    <n v="20"/>
    <s v="Gaming Monitor"/>
    <x v="1"/>
    <n v="150"/>
    <n v="3150"/>
    <n v="90"/>
    <n v="1050"/>
    <n v="2080"/>
  </r>
  <r>
    <x v="532"/>
    <d v="2026-02-14T00:00:00"/>
    <s v="P003"/>
    <x v="1"/>
    <n v="3"/>
    <n v="450"/>
    <n v="0"/>
    <n v="5"/>
    <s v="Gaming Monitor"/>
    <x v="1"/>
    <n v="150"/>
    <n v="1350"/>
    <n v="0"/>
    <n v="450"/>
    <n v="895"/>
  </r>
  <r>
    <x v="533"/>
    <d v="2026-06-16T00:00:00"/>
    <s v="P003"/>
    <x v="2"/>
    <n v="3"/>
    <n v="450"/>
    <n v="0.1"/>
    <n v="20"/>
    <s v="Gaming Monitor"/>
    <x v="1"/>
    <n v="150"/>
    <n v="1350"/>
    <n v="45"/>
    <n v="450"/>
    <n v="880"/>
  </r>
  <r>
    <x v="534"/>
    <d v="2026-01-19T00:00:00"/>
    <s v="P003"/>
    <x v="0"/>
    <n v="20"/>
    <n v="450"/>
    <n v="0.35"/>
    <n v="20"/>
    <s v="Gaming Monitor"/>
    <x v="1"/>
    <n v="150"/>
    <n v="9000"/>
    <n v="157.5"/>
    <n v="3000"/>
    <n v="5980"/>
  </r>
  <r>
    <x v="535"/>
    <d v="2026-09-17T00:00:00"/>
    <s v="P003"/>
    <x v="3"/>
    <n v="2"/>
    <n v="450"/>
    <n v="0.35"/>
    <n v="15"/>
    <s v="Gaming Monitor"/>
    <x v="1"/>
    <n v="150"/>
    <n v="900"/>
    <n v="157.5"/>
    <n v="300"/>
    <n v="585"/>
  </r>
  <r>
    <x v="536"/>
    <d v="2026-06-30T00:00:00"/>
    <s v="P003"/>
    <x v="2"/>
    <n v="9"/>
    <n v="450"/>
    <n v="0.35"/>
    <n v="10"/>
    <s v="Gaming Monitor"/>
    <x v="1"/>
    <n v="150"/>
    <n v="4050"/>
    <n v="157.5"/>
    <n v="1350"/>
    <n v="2690"/>
  </r>
  <r>
    <x v="537"/>
    <d v="2026-06-10T00:00:00"/>
    <s v="P003"/>
    <x v="3"/>
    <n v="2"/>
    <n v="450"/>
    <n v="0.35"/>
    <n v="20"/>
    <s v="Gaming Monitor"/>
    <x v="1"/>
    <n v="150"/>
    <n v="900"/>
    <n v="157.5"/>
    <n v="300"/>
    <n v="580"/>
  </r>
  <r>
    <x v="538"/>
    <d v="2026-07-03T00:00:00"/>
    <s v="P003"/>
    <x v="2"/>
    <n v="21"/>
    <n v="450"/>
    <n v="0.2"/>
    <n v="5"/>
    <s v="Gaming Monitor"/>
    <x v="1"/>
    <n v="150"/>
    <n v="9450"/>
    <n v="90"/>
    <n v="3150"/>
    <n v="6295"/>
  </r>
  <r>
    <x v="539"/>
    <d v="2026-12-02T00:00:00"/>
    <s v="P003"/>
    <x v="1"/>
    <n v="1"/>
    <n v="450"/>
    <n v="0"/>
    <n v="15"/>
    <s v="Gaming Monitor"/>
    <x v="1"/>
    <n v="150"/>
    <n v="450"/>
    <n v="0"/>
    <n v="150"/>
    <n v="285"/>
  </r>
  <r>
    <x v="540"/>
    <d v="2026-06-27T00:00:00"/>
    <s v="P003"/>
    <x v="0"/>
    <n v="3"/>
    <n v="450"/>
    <n v="0.2"/>
    <n v="5"/>
    <s v="Gaming Monitor"/>
    <x v="1"/>
    <n v="150"/>
    <n v="1350"/>
    <n v="90"/>
    <n v="450"/>
    <n v="895"/>
  </r>
  <r>
    <x v="541"/>
    <d v="2026-06-09T00:00:00"/>
    <s v="P003"/>
    <x v="3"/>
    <n v="2"/>
    <n v="450"/>
    <n v="0"/>
    <n v="20"/>
    <s v="Gaming Monitor"/>
    <x v="1"/>
    <n v="150"/>
    <n v="900"/>
    <n v="0"/>
    <n v="300"/>
    <n v="580"/>
  </r>
  <r>
    <x v="542"/>
    <d v="2026-09-24T00:00:00"/>
    <s v="P003"/>
    <x v="2"/>
    <n v="19"/>
    <n v="450"/>
    <n v="0.35"/>
    <n v="5"/>
    <s v="Gaming Monitor"/>
    <x v="1"/>
    <n v="150"/>
    <n v="8550"/>
    <n v="157.5"/>
    <n v="2850"/>
    <n v="5695"/>
  </r>
  <r>
    <x v="543"/>
    <d v="2026-04-12T00:00:00"/>
    <s v="P003"/>
    <x v="2"/>
    <n v="4"/>
    <n v="450"/>
    <n v="0.2"/>
    <n v="10"/>
    <s v="Gaming Monitor"/>
    <x v="1"/>
    <n v="150"/>
    <n v="1800"/>
    <n v="90"/>
    <n v="600"/>
    <n v="1190"/>
  </r>
  <r>
    <x v="544"/>
    <d v="2026-02-06T00:00:00"/>
    <s v="P003"/>
    <x v="2"/>
    <n v="4"/>
    <n v="450"/>
    <n v="0.35"/>
    <n v="5"/>
    <s v="Gaming Monitor"/>
    <x v="1"/>
    <n v="150"/>
    <n v="1800"/>
    <n v="157.5"/>
    <n v="600"/>
    <n v="1195"/>
  </r>
  <r>
    <x v="545"/>
    <d v="2026-05-12T00:00:00"/>
    <s v="P003"/>
    <x v="2"/>
    <n v="3"/>
    <n v="450"/>
    <n v="0.35"/>
    <n v="20"/>
    <s v="Gaming Monitor"/>
    <x v="1"/>
    <n v="150"/>
    <n v="1350"/>
    <n v="157.5"/>
    <n v="450"/>
    <n v="880"/>
  </r>
  <r>
    <x v="546"/>
    <d v="2026-05-26T00:00:00"/>
    <s v="P003"/>
    <x v="2"/>
    <n v="16"/>
    <n v="450"/>
    <n v="0.35"/>
    <n v="5"/>
    <s v="Gaming Monitor"/>
    <x v="1"/>
    <n v="150"/>
    <n v="7200"/>
    <n v="157.5"/>
    <n v="2400"/>
    <n v="4795"/>
  </r>
  <r>
    <x v="547"/>
    <d v="2026-01-31T00:00:00"/>
    <s v="P003"/>
    <x v="2"/>
    <n v="8"/>
    <n v="450"/>
    <n v="0"/>
    <n v="5"/>
    <s v="Gaming Monitor"/>
    <x v="1"/>
    <n v="150"/>
    <n v="3600"/>
    <n v="0"/>
    <n v="1200"/>
    <n v="2395"/>
  </r>
  <r>
    <x v="548"/>
    <d v="2026-11-18T00:00:00"/>
    <s v="P003"/>
    <x v="1"/>
    <n v="19"/>
    <n v="450"/>
    <n v="0.35"/>
    <n v="10"/>
    <s v="Gaming Monitor"/>
    <x v="1"/>
    <n v="150"/>
    <n v="8550"/>
    <n v="157.5"/>
    <n v="2850"/>
    <n v="5690"/>
  </r>
  <r>
    <x v="549"/>
    <d v="2026-10-14T00:00:00"/>
    <s v="P003"/>
    <x v="3"/>
    <n v="11"/>
    <n v="450"/>
    <n v="0"/>
    <n v="5"/>
    <s v="Gaming Monitor"/>
    <x v="1"/>
    <n v="150"/>
    <n v="4950"/>
    <n v="0"/>
    <n v="1650"/>
    <n v="3295"/>
  </r>
  <r>
    <x v="550"/>
    <d v="2026-09-27T00:00:00"/>
    <s v="P003"/>
    <x v="2"/>
    <n v="9"/>
    <n v="450"/>
    <n v="0.1"/>
    <n v="20"/>
    <s v="Gaming Monitor"/>
    <x v="1"/>
    <n v="150"/>
    <n v="4050"/>
    <n v="45"/>
    <n v="1350"/>
    <n v="2680"/>
  </r>
  <r>
    <x v="551"/>
    <d v="2026-01-29T00:00:00"/>
    <s v="P003"/>
    <x v="1"/>
    <n v="23"/>
    <n v="450"/>
    <n v="0.2"/>
    <n v="15"/>
    <s v="Gaming Monitor"/>
    <x v="1"/>
    <n v="150"/>
    <n v="10350"/>
    <n v="90"/>
    <n v="3450"/>
    <n v="6885"/>
  </r>
  <r>
    <x v="552"/>
    <d v="2026-07-06T00:00:00"/>
    <s v="P003"/>
    <x v="3"/>
    <n v="16"/>
    <n v="450"/>
    <n v="0.2"/>
    <n v="20"/>
    <s v="Gaming Monitor"/>
    <x v="1"/>
    <n v="150"/>
    <n v="7200"/>
    <n v="90"/>
    <n v="2400"/>
    <n v="4780"/>
  </r>
  <r>
    <x v="553"/>
    <d v="2026-12-12T00:00:00"/>
    <s v="P003"/>
    <x v="3"/>
    <n v="18"/>
    <n v="450"/>
    <n v="0.2"/>
    <n v="10"/>
    <s v="Gaming Monitor"/>
    <x v="1"/>
    <n v="150"/>
    <n v="8100"/>
    <n v="90"/>
    <n v="2700"/>
    <n v="5390"/>
  </r>
  <r>
    <x v="554"/>
    <d v="2026-10-20T00:00:00"/>
    <s v="P003"/>
    <x v="3"/>
    <n v="2"/>
    <n v="450"/>
    <n v="0.35"/>
    <n v="5"/>
    <s v="Gaming Monitor"/>
    <x v="1"/>
    <n v="150"/>
    <n v="900"/>
    <n v="157.5"/>
    <n v="300"/>
    <n v="595"/>
  </r>
  <r>
    <x v="555"/>
    <d v="2026-01-15T00:00:00"/>
    <s v="P003"/>
    <x v="0"/>
    <n v="20"/>
    <n v="450"/>
    <n v="0.1"/>
    <n v="10"/>
    <s v="Gaming Monitor"/>
    <x v="1"/>
    <n v="150"/>
    <n v="9000"/>
    <n v="45"/>
    <n v="3000"/>
    <n v="5990"/>
  </r>
  <r>
    <x v="556"/>
    <d v="2026-02-10T00:00:00"/>
    <s v="P003"/>
    <x v="3"/>
    <n v="20"/>
    <n v="450"/>
    <n v="0"/>
    <n v="20"/>
    <s v="Gaming Monitor"/>
    <x v="1"/>
    <n v="150"/>
    <n v="9000"/>
    <n v="0"/>
    <n v="3000"/>
    <n v="5980"/>
  </r>
  <r>
    <x v="557"/>
    <d v="2026-04-26T00:00:00"/>
    <s v="P003"/>
    <x v="3"/>
    <n v="4"/>
    <n v="450"/>
    <n v="0.1"/>
    <n v="20"/>
    <s v="Gaming Monitor"/>
    <x v="1"/>
    <n v="150"/>
    <n v="1800"/>
    <n v="45"/>
    <n v="600"/>
    <n v="1180"/>
  </r>
  <r>
    <x v="558"/>
    <d v="2026-09-04T00:00:00"/>
    <s v="P003"/>
    <x v="2"/>
    <n v="23"/>
    <n v="450"/>
    <n v="0.1"/>
    <n v="15"/>
    <s v="Gaming Monitor"/>
    <x v="1"/>
    <n v="150"/>
    <n v="10350"/>
    <n v="45"/>
    <n v="3450"/>
    <n v="6885"/>
  </r>
  <r>
    <x v="559"/>
    <d v="2026-09-09T00:00:00"/>
    <s v="P003"/>
    <x v="2"/>
    <n v="11"/>
    <n v="450"/>
    <n v="0.2"/>
    <n v="5"/>
    <s v="Gaming Monitor"/>
    <x v="1"/>
    <n v="150"/>
    <n v="4950"/>
    <n v="90"/>
    <n v="1650"/>
    <n v="3295"/>
  </r>
  <r>
    <x v="560"/>
    <d v="2026-06-23T00:00:00"/>
    <s v="P003"/>
    <x v="0"/>
    <n v="7"/>
    <n v="450"/>
    <n v="0.2"/>
    <n v="10"/>
    <s v="Gaming Monitor"/>
    <x v="1"/>
    <n v="150"/>
    <n v="3150"/>
    <n v="90"/>
    <n v="1050"/>
    <n v="2090"/>
  </r>
  <r>
    <x v="561"/>
    <d v="2026-02-02T00:00:00"/>
    <s v="P003"/>
    <x v="3"/>
    <n v="10"/>
    <n v="450"/>
    <n v="0.2"/>
    <n v="20"/>
    <s v="Gaming Monitor"/>
    <x v="1"/>
    <n v="150"/>
    <n v="4500"/>
    <n v="90"/>
    <n v="1500"/>
    <n v="2980"/>
  </r>
  <r>
    <x v="562"/>
    <d v="2026-12-16T00:00:00"/>
    <s v="P003"/>
    <x v="0"/>
    <n v="17"/>
    <n v="450"/>
    <n v="0.2"/>
    <n v="10"/>
    <s v="Gaming Monitor"/>
    <x v="1"/>
    <n v="150"/>
    <n v="7650"/>
    <n v="90"/>
    <n v="2550"/>
    <n v="5090"/>
  </r>
  <r>
    <x v="563"/>
    <d v="2026-10-25T00:00:00"/>
    <s v="P003"/>
    <x v="3"/>
    <n v="16"/>
    <n v="450"/>
    <n v="0"/>
    <n v="10"/>
    <s v="Gaming Monitor"/>
    <x v="1"/>
    <n v="150"/>
    <n v="7200"/>
    <n v="0"/>
    <n v="2400"/>
    <n v="4790"/>
  </r>
  <r>
    <x v="564"/>
    <d v="2026-02-24T00:00:00"/>
    <s v="P003"/>
    <x v="0"/>
    <n v="9"/>
    <n v="450"/>
    <n v="0"/>
    <n v="5"/>
    <s v="Gaming Monitor"/>
    <x v="1"/>
    <n v="150"/>
    <n v="4050"/>
    <n v="0"/>
    <n v="1350"/>
    <n v="2695"/>
  </r>
  <r>
    <x v="565"/>
    <d v="2026-05-26T00:00:00"/>
    <s v="P003"/>
    <x v="0"/>
    <n v="21"/>
    <n v="450"/>
    <n v="0"/>
    <n v="20"/>
    <s v="Gaming Monitor"/>
    <x v="1"/>
    <n v="150"/>
    <n v="9450"/>
    <n v="0"/>
    <n v="3150"/>
    <n v="6280"/>
  </r>
  <r>
    <x v="566"/>
    <d v="2026-04-03T00:00:00"/>
    <s v="P003"/>
    <x v="3"/>
    <n v="7"/>
    <n v="450"/>
    <n v="0.1"/>
    <n v="10"/>
    <s v="Gaming Monitor"/>
    <x v="1"/>
    <n v="150"/>
    <n v="3150"/>
    <n v="45"/>
    <n v="1050"/>
    <n v="2090"/>
  </r>
  <r>
    <x v="567"/>
    <d v="2026-05-08T00:00:00"/>
    <s v="P003"/>
    <x v="0"/>
    <n v="25"/>
    <n v="450"/>
    <n v="0.2"/>
    <n v="20"/>
    <s v="Gaming Monitor"/>
    <x v="1"/>
    <n v="150"/>
    <n v="11250"/>
    <n v="90"/>
    <n v="3750"/>
    <n v="7480"/>
  </r>
  <r>
    <x v="568"/>
    <d v="2026-10-01T00:00:00"/>
    <s v="P003"/>
    <x v="2"/>
    <n v="4"/>
    <n v="450"/>
    <n v="0.2"/>
    <n v="10"/>
    <s v="Gaming Monitor"/>
    <x v="1"/>
    <n v="150"/>
    <n v="1800"/>
    <n v="90"/>
    <n v="600"/>
    <n v="1190"/>
  </r>
  <r>
    <x v="569"/>
    <d v="2026-12-05T00:00:00"/>
    <s v="P003"/>
    <x v="0"/>
    <n v="14"/>
    <n v="450"/>
    <n v="0.1"/>
    <n v="5"/>
    <s v="Gaming Monitor"/>
    <x v="1"/>
    <n v="150"/>
    <n v="6300"/>
    <n v="45"/>
    <n v="2100"/>
    <n v="4195"/>
  </r>
  <r>
    <x v="570"/>
    <d v="2026-10-08T00:00:00"/>
    <s v="P003"/>
    <x v="1"/>
    <n v="21"/>
    <n v="450"/>
    <n v="0.35"/>
    <n v="5"/>
    <s v="Gaming Monitor"/>
    <x v="1"/>
    <n v="150"/>
    <n v="9450"/>
    <n v="157.5"/>
    <n v="3150"/>
    <n v="6295"/>
  </r>
  <r>
    <x v="571"/>
    <d v="2026-12-10T00:00:00"/>
    <s v="P003"/>
    <x v="1"/>
    <n v="11"/>
    <n v="450"/>
    <n v="0"/>
    <n v="10"/>
    <s v="Gaming Monitor"/>
    <x v="1"/>
    <n v="150"/>
    <n v="4950"/>
    <n v="0"/>
    <n v="1650"/>
    <n v="3290"/>
  </r>
  <r>
    <x v="572"/>
    <d v="2026-04-18T00:00:00"/>
    <s v="P003"/>
    <x v="0"/>
    <n v="15"/>
    <n v="450"/>
    <n v="0.2"/>
    <n v="15"/>
    <s v="Gaming Monitor"/>
    <x v="1"/>
    <n v="150"/>
    <n v="6750"/>
    <n v="90"/>
    <n v="2250"/>
    <n v="4485"/>
  </r>
  <r>
    <x v="573"/>
    <d v="2026-02-16T00:00:00"/>
    <s v="P003"/>
    <x v="2"/>
    <n v="16"/>
    <n v="450"/>
    <n v="0.35"/>
    <n v="15"/>
    <s v="Gaming Monitor"/>
    <x v="1"/>
    <n v="150"/>
    <n v="7200"/>
    <n v="157.5"/>
    <n v="2400"/>
    <n v="4785"/>
  </r>
  <r>
    <x v="574"/>
    <d v="2026-09-30T00:00:00"/>
    <s v="P003"/>
    <x v="0"/>
    <n v="3"/>
    <n v="450"/>
    <n v="0"/>
    <n v="15"/>
    <s v="Gaming Monitor"/>
    <x v="1"/>
    <n v="150"/>
    <n v="1350"/>
    <n v="0"/>
    <n v="450"/>
    <n v="885"/>
  </r>
  <r>
    <x v="575"/>
    <d v="2026-12-20T00:00:00"/>
    <s v="P003"/>
    <x v="1"/>
    <n v="3"/>
    <n v="450"/>
    <n v="0"/>
    <n v="5"/>
    <s v="Gaming Monitor"/>
    <x v="1"/>
    <n v="150"/>
    <n v="1350"/>
    <n v="0"/>
    <n v="450"/>
    <n v="895"/>
  </r>
  <r>
    <x v="576"/>
    <d v="2026-01-23T00:00:00"/>
    <s v="P003"/>
    <x v="3"/>
    <n v="15"/>
    <n v="450"/>
    <n v="0.35"/>
    <n v="15"/>
    <s v="Gaming Monitor"/>
    <x v="1"/>
    <n v="150"/>
    <n v="6750"/>
    <n v="157.5"/>
    <n v="2250"/>
    <n v="4485"/>
  </r>
  <r>
    <x v="577"/>
    <d v="2026-10-25T00:00:00"/>
    <s v="P003"/>
    <x v="0"/>
    <n v="9"/>
    <n v="450"/>
    <n v="0.2"/>
    <n v="15"/>
    <s v="Gaming Monitor"/>
    <x v="1"/>
    <n v="150"/>
    <n v="4050"/>
    <n v="90"/>
    <n v="1350"/>
    <n v="2685"/>
  </r>
  <r>
    <x v="578"/>
    <d v="2026-10-21T00:00:00"/>
    <s v="P003"/>
    <x v="3"/>
    <n v="7"/>
    <n v="450"/>
    <n v="0.35"/>
    <n v="15"/>
    <s v="Gaming Monitor"/>
    <x v="1"/>
    <n v="150"/>
    <n v="3150"/>
    <n v="157.5"/>
    <n v="1050"/>
    <n v="2085"/>
  </r>
  <r>
    <x v="579"/>
    <d v="2026-05-07T00:00:00"/>
    <s v="P003"/>
    <x v="0"/>
    <n v="15"/>
    <n v="450"/>
    <n v="0.2"/>
    <n v="5"/>
    <s v="Gaming Monitor"/>
    <x v="1"/>
    <n v="150"/>
    <n v="6750"/>
    <n v="90"/>
    <n v="2250"/>
    <n v="4495"/>
  </r>
  <r>
    <x v="580"/>
    <d v="2026-08-22T00:00:00"/>
    <s v="P003"/>
    <x v="3"/>
    <n v="16"/>
    <n v="450"/>
    <n v="0.1"/>
    <n v="10"/>
    <s v="Gaming Monitor"/>
    <x v="1"/>
    <n v="150"/>
    <n v="7200"/>
    <n v="45"/>
    <n v="2400"/>
    <n v="4790"/>
  </r>
  <r>
    <x v="581"/>
    <d v="2026-05-12T00:00:00"/>
    <s v="P003"/>
    <x v="2"/>
    <n v="15"/>
    <n v="450"/>
    <n v="0.1"/>
    <n v="10"/>
    <s v="Gaming Monitor"/>
    <x v="1"/>
    <n v="150"/>
    <n v="6750"/>
    <n v="45"/>
    <n v="2250"/>
    <n v="4490"/>
  </r>
  <r>
    <x v="582"/>
    <d v="2026-11-23T00:00:00"/>
    <s v="P003"/>
    <x v="2"/>
    <n v="4"/>
    <n v="450"/>
    <n v="0.2"/>
    <n v="20"/>
    <s v="Gaming Monitor"/>
    <x v="1"/>
    <n v="150"/>
    <n v="1800"/>
    <n v="90"/>
    <n v="600"/>
    <n v="1180"/>
  </r>
  <r>
    <x v="583"/>
    <d v="2026-06-14T00:00:00"/>
    <s v="P003"/>
    <x v="1"/>
    <n v="1"/>
    <n v="450"/>
    <n v="0"/>
    <n v="15"/>
    <s v="Gaming Monitor"/>
    <x v="1"/>
    <n v="150"/>
    <n v="450"/>
    <n v="0"/>
    <n v="150"/>
    <n v="285"/>
  </r>
  <r>
    <x v="584"/>
    <d v="2026-06-17T00:00:00"/>
    <s v="P003"/>
    <x v="3"/>
    <n v="3"/>
    <n v="450"/>
    <n v="0.1"/>
    <n v="20"/>
    <s v="Gaming Monitor"/>
    <x v="1"/>
    <n v="150"/>
    <n v="1350"/>
    <n v="45"/>
    <n v="450"/>
    <n v="880"/>
  </r>
  <r>
    <x v="585"/>
    <d v="2026-06-16T00:00:00"/>
    <s v="P003"/>
    <x v="3"/>
    <n v="22"/>
    <n v="450"/>
    <n v="0.35"/>
    <n v="5"/>
    <s v="Gaming Monitor"/>
    <x v="1"/>
    <n v="150"/>
    <n v="9900"/>
    <n v="157.5"/>
    <n v="3300"/>
    <n v="6595"/>
  </r>
  <r>
    <x v="586"/>
    <d v="2026-12-17T00:00:00"/>
    <s v="P003"/>
    <x v="1"/>
    <n v="4"/>
    <n v="450"/>
    <n v="0.35"/>
    <n v="20"/>
    <s v="Gaming Monitor"/>
    <x v="1"/>
    <n v="150"/>
    <n v="1800"/>
    <n v="157.5"/>
    <n v="600"/>
    <n v="1180"/>
  </r>
  <r>
    <x v="587"/>
    <d v="2026-09-23T00:00:00"/>
    <s v="P003"/>
    <x v="3"/>
    <n v="6"/>
    <n v="450"/>
    <n v="0.1"/>
    <n v="15"/>
    <s v="Gaming Monitor"/>
    <x v="1"/>
    <n v="150"/>
    <n v="2700"/>
    <n v="45"/>
    <n v="900"/>
    <n v="1785"/>
  </r>
  <r>
    <x v="588"/>
    <d v="2026-04-13T00:00:00"/>
    <s v="P003"/>
    <x v="1"/>
    <n v="9"/>
    <n v="450"/>
    <n v="0.1"/>
    <n v="10"/>
    <s v="Gaming Monitor"/>
    <x v="1"/>
    <n v="150"/>
    <n v="4050"/>
    <n v="45"/>
    <n v="1350"/>
    <n v="2690"/>
  </r>
  <r>
    <x v="589"/>
    <d v="2026-08-23T00:00:00"/>
    <s v="P003"/>
    <x v="3"/>
    <n v="5"/>
    <n v="450"/>
    <n v="0.2"/>
    <n v="10"/>
    <s v="Gaming Monitor"/>
    <x v="1"/>
    <n v="150"/>
    <n v="2250"/>
    <n v="90"/>
    <n v="750"/>
    <n v="1490"/>
  </r>
  <r>
    <x v="590"/>
    <d v="2026-12-03T00:00:00"/>
    <s v="P003"/>
    <x v="0"/>
    <n v="23"/>
    <n v="450"/>
    <n v="0.2"/>
    <n v="10"/>
    <s v="Gaming Monitor"/>
    <x v="1"/>
    <n v="150"/>
    <n v="10350"/>
    <n v="90"/>
    <n v="3450"/>
    <n v="6890"/>
  </r>
  <r>
    <x v="591"/>
    <d v="2026-07-27T00:00:00"/>
    <s v="P003"/>
    <x v="3"/>
    <n v="13"/>
    <n v="450"/>
    <n v="0.2"/>
    <n v="20"/>
    <s v="Gaming Monitor"/>
    <x v="1"/>
    <n v="150"/>
    <n v="5850"/>
    <n v="90"/>
    <n v="1950"/>
    <n v="3880"/>
  </r>
  <r>
    <x v="592"/>
    <d v="2026-07-11T00:00:00"/>
    <s v="P003"/>
    <x v="3"/>
    <n v="2"/>
    <n v="450"/>
    <n v="0.2"/>
    <n v="20"/>
    <s v="Gaming Monitor"/>
    <x v="1"/>
    <n v="150"/>
    <n v="900"/>
    <n v="90"/>
    <n v="300"/>
    <n v="580"/>
  </r>
  <r>
    <x v="593"/>
    <d v="2026-08-03T00:00:00"/>
    <s v="P003"/>
    <x v="3"/>
    <n v="2"/>
    <n v="450"/>
    <n v="0"/>
    <n v="15"/>
    <s v="Gaming Monitor"/>
    <x v="1"/>
    <n v="150"/>
    <n v="900"/>
    <n v="0"/>
    <n v="300"/>
    <n v="585"/>
  </r>
  <r>
    <x v="594"/>
    <d v="2026-08-10T00:00:00"/>
    <s v="P003"/>
    <x v="1"/>
    <n v="25"/>
    <n v="450"/>
    <n v="0.1"/>
    <n v="5"/>
    <s v="Gaming Monitor"/>
    <x v="1"/>
    <n v="150"/>
    <n v="11250"/>
    <n v="45"/>
    <n v="3750"/>
    <n v="7495"/>
  </r>
  <r>
    <x v="595"/>
    <d v="2026-09-13T00:00:00"/>
    <s v="P003"/>
    <x v="2"/>
    <n v="21"/>
    <n v="450"/>
    <n v="0.35"/>
    <n v="5"/>
    <s v="Gaming Monitor"/>
    <x v="1"/>
    <n v="150"/>
    <n v="9450"/>
    <n v="157.5"/>
    <n v="3150"/>
    <n v="6295"/>
  </r>
  <r>
    <x v="596"/>
    <d v="2026-03-08T00:00:00"/>
    <s v="P003"/>
    <x v="1"/>
    <n v="5"/>
    <n v="450"/>
    <n v="0.35"/>
    <n v="5"/>
    <s v="Gaming Monitor"/>
    <x v="1"/>
    <n v="150"/>
    <n v="2250"/>
    <n v="157.5"/>
    <n v="750"/>
    <n v="1495"/>
  </r>
  <r>
    <x v="597"/>
    <d v="2026-01-30T00:00:00"/>
    <s v="P003"/>
    <x v="1"/>
    <n v="5"/>
    <n v="450"/>
    <n v="0.2"/>
    <n v="15"/>
    <s v="Gaming Monitor"/>
    <x v="1"/>
    <n v="150"/>
    <n v="2250"/>
    <n v="90"/>
    <n v="750"/>
    <n v="1485"/>
  </r>
  <r>
    <x v="598"/>
    <d v="2026-10-22T00:00:00"/>
    <s v="P003"/>
    <x v="0"/>
    <n v="19"/>
    <n v="450"/>
    <n v="0.2"/>
    <n v="10"/>
    <s v="Gaming Monitor"/>
    <x v="1"/>
    <n v="150"/>
    <n v="8550"/>
    <n v="90"/>
    <n v="2850"/>
    <n v="5690"/>
  </r>
  <r>
    <x v="599"/>
    <d v="2026-05-12T00:00:00"/>
    <s v="P003"/>
    <x v="0"/>
    <n v="3"/>
    <n v="450"/>
    <n v="0.2"/>
    <n v="10"/>
    <s v="Gaming Monitor"/>
    <x v="1"/>
    <n v="150"/>
    <n v="1350"/>
    <n v="90"/>
    <n v="450"/>
    <n v="890"/>
  </r>
  <r>
    <x v="600"/>
    <d v="2026-09-23T00:00:00"/>
    <s v="P003"/>
    <x v="1"/>
    <n v="25"/>
    <n v="450"/>
    <n v="0.35"/>
    <n v="10"/>
    <s v="Gaming Monitor"/>
    <x v="1"/>
    <n v="150"/>
    <n v="11250"/>
    <n v="157.5"/>
    <n v="3750"/>
    <n v="7490"/>
  </r>
  <r>
    <x v="601"/>
    <d v="2026-08-13T00:00:00"/>
    <s v="P003"/>
    <x v="1"/>
    <n v="6"/>
    <n v="450"/>
    <n v="0"/>
    <n v="5"/>
    <s v="Gaming Monitor"/>
    <x v="1"/>
    <n v="150"/>
    <n v="2700"/>
    <n v="0"/>
    <n v="900"/>
    <n v="1795"/>
  </r>
  <r>
    <x v="602"/>
    <d v="2026-02-17T00:00:00"/>
    <s v="P003"/>
    <x v="3"/>
    <n v="6"/>
    <n v="450"/>
    <n v="0"/>
    <n v="15"/>
    <s v="Gaming Monitor"/>
    <x v="1"/>
    <n v="150"/>
    <n v="2700"/>
    <n v="0"/>
    <n v="900"/>
    <n v="1785"/>
  </r>
  <r>
    <x v="603"/>
    <d v="2026-09-02T00:00:00"/>
    <s v="P003"/>
    <x v="2"/>
    <n v="17"/>
    <n v="450"/>
    <n v="0.35"/>
    <n v="5"/>
    <s v="Gaming Monitor"/>
    <x v="1"/>
    <n v="150"/>
    <n v="7650"/>
    <n v="157.5"/>
    <n v="2550"/>
    <n v="5095"/>
  </r>
  <r>
    <x v="604"/>
    <d v="2026-12-15T00:00:00"/>
    <s v="P003"/>
    <x v="2"/>
    <n v="13"/>
    <n v="450"/>
    <n v="0.2"/>
    <n v="10"/>
    <s v="Gaming Monitor"/>
    <x v="1"/>
    <n v="150"/>
    <n v="5850"/>
    <n v="90"/>
    <n v="1950"/>
    <n v="3890"/>
  </r>
  <r>
    <x v="605"/>
    <d v="2026-01-28T00:00:00"/>
    <s v="P003"/>
    <x v="1"/>
    <n v="16"/>
    <n v="450"/>
    <n v="0"/>
    <n v="5"/>
    <s v="Gaming Monitor"/>
    <x v="1"/>
    <n v="150"/>
    <n v="7200"/>
    <n v="0"/>
    <n v="2400"/>
    <n v="4795"/>
  </r>
  <r>
    <x v="606"/>
    <d v="2026-02-15T00:00:00"/>
    <s v="P003"/>
    <x v="3"/>
    <n v="6"/>
    <n v="450"/>
    <n v="0"/>
    <n v="15"/>
    <s v="Gaming Monitor"/>
    <x v="1"/>
    <n v="150"/>
    <n v="2700"/>
    <n v="0"/>
    <n v="900"/>
    <n v="1785"/>
  </r>
  <r>
    <x v="607"/>
    <d v="2026-06-18T00:00:00"/>
    <s v="P003"/>
    <x v="2"/>
    <n v="2"/>
    <n v="450"/>
    <n v="0.2"/>
    <n v="10"/>
    <s v="Gaming Monitor"/>
    <x v="1"/>
    <n v="150"/>
    <n v="900"/>
    <n v="90"/>
    <n v="300"/>
    <n v="590"/>
  </r>
  <r>
    <x v="608"/>
    <d v="2026-10-01T00:00:00"/>
    <s v="P003"/>
    <x v="2"/>
    <n v="1"/>
    <n v="450"/>
    <n v="0.35"/>
    <n v="5"/>
    <s v="Gaming Monitor"/>
    <x v="1"/>
    <n v="150"/>
    <n v="450"/>
    <n v="157.5"/>
    <n v="150"/>
    <n v="295"/>
  </r>
  <r>
    <x v="609"/>
    <d v="2026-10-24T00:00:00"/>
    <s v="P003"/>
    <x v="1"/>
    <n v="6"/>
    <n v="450"/>
    <n v="0.1"/>
    <n v="5"/>
    <s v="Gaming Monitor"/>
    <x v="1"/>
    <n v="150"/>
    <n v="2700"/>
    <n v="45"/>
    <n v="900"/>
    <n v="1795"/>
  </r>
  <r>
    <x v="610"/>
    <d v="2026-05-23T00:00:00"/>
    <s v="P003"/>
    <x v="1"/>
    <n v="22"/>
    <n v="450"/>
    <n v="0.1"/>
    <n v="10"/>
    <s v="Gaming Monitor"/>
    <x v="1"/>
    <n v="150"/>
    <n v="9900"/>
    <n v="45"/>
    <n v="3300"/>
    <n v="6590"/>
  </r>
  <r>
    <x v="611"/>
    <d v="2026-02-11T00:00:00"/>
    <s v="P003"/>
    <x v="2"/>
    <n v="11"/>
    <n v="450"/>
    <n v="0.1"/>
    <n v="20"/>
    <s v="Gaming Monitor"/>
    <x v="1"/>
    <n v="150"/>
    <n v="4950"/>
    <n v="45"/>
    <n v="1650"/>
    <n v="3280"/>
  </r>
  <r>
    <x v="612"/>
    <d v="2026-01-26T00:00:00"/>
    <s v="P003"/>
    <x v="2"/>
    <n v="19"/>
    <n v="450"/>
    <n v="0.2"/>
    <n v="15"/>
    <s v="Gaming Monitor"/>
    <x v="1"/>
    <n v="150"/>
    <n v="8550"/>
    <n v="90"/>
    <n v="2850"/>
    <n v="5685"/>
  </r>
  <r>
    <x v="613"/>
    <d v="2026-11-16T00:00:00"/>
    <s v="P003"/>
    <x v="2"/>
    <n v="8"/>
    <n v="450"/>
    <n v="0.2"/>
    <n v="5"/>
    <s v="Gaming Monitor"/>
    <x v="1"/>
    <n v="150"/>
    <n v="3600"/>
    <n v="90"/>
    <n v="1200"/>
    <n v="2395"/>
  </r>
  <r>
    <x v="614"/>
    <d v="2026-07-05T00:00:00"/>
    <s v="P003"/>
    <x v="2"/>
    <n v="4"/>
    <n v="450"/>
    <n v="0"/>
    <n v="5"/>
    <s v="Gaming Monitor"/>
    <x v="1"/>
    <n v="150"/>
    <n v="1800"/>
    <n v="0"/>
    <n v="600"/>
    <n v="1195"/>
  </r>
  <r>
    <x v="615"/>
    <d v="2026-05-16T00:00:00"/>
    <s v="P003"/>
    <x v="0"/>
    <n v="24"/>
    <n v="450"/>
    <n v="0.35"/>
    <n v="20"/>
    <s v="Gaming Monitor"/>
    <x v="1"/>
    <n v="150"/>
    <n v="10800"/>
    <n v="157.5"/>
    <n v="3600"/>
    <n v="7180"/>
  </r>
  <r>
    <x v="616"/>
    <d v="2026-02-07T00:00:00"/>
    <s v="P003"/>
    <x v="1"/>
    <n v="10"/>
    <n v="450"/>
    <n v="0.2"/>
    <n v="20"/>
    <s v="Gaming Monitor"/>
    <x v="1"/>
    <n v="150"/>
    <n v="4500"/>
    <n v="90"/>
    <n v="1500"/>
    <n v="2980"/>
  </r>
  <r>
    <x v="617"/>
    <d v="2026-07-12T00:00:00"/>
    <s v="P005"/>
    <x v="1"/>
    <n v="25"/>
    <n v="300"/>
    <n v="0"/>
    <n v="5"/>
    <s v="Desk Lamp"/>
    <x v="2"/>
    <n v="20"/>
    <n v="7500"/>
    <n v="0"/>
    <n v="500"/>
    <n v="6995"/>
  </r>
  <r>
    <x v="618"/>
    <d v="2026-07-04T00:00:00"/>
    <s v="P005"/>
    <x v="0"/>
    <n v="17"/>
    <n v="300"/>
    <n v="0.2"/>
    <n v="5"/>
    <s v="Desk Lamp"/>
    <x v="2"/>
    <n v="20"/>
    <n v="5100"/>
    <n v="60"/>
    <n v="340"/>
    <n v="4755"/>
  </r>
  <r>
    <x v="619"/>
    <d v="2026-11-15T00:00:00"/>
    <s v="P005"/>
    <x v="0"/>
    <n v="15"/>
    <n v="300"/>
    <n v="0.2"/>
    <n v="15"/>
    <s v="Desk Lamp"/>
    <x v="2"/>
    <n v="20"/>
    <n v="4500"/>
    <n v="60"/>
    <n v="300"/>
    <n v="4185"/>
  </r>
  <r>
    <x v="620"/>
    <d v="2026-09-26T00:00:00"/>
    <s v="P005"/>
    <x v="2"/>
    <n v="9"/>
    <n v="300"/>
    <n v="0.35"/>
    <n v="10"/>
    <s v="Desk Lamp"/>
    <x v="2"/>
    <n v="20"/>
    <n v="2700"/>
    <n v="105"/>
    <n v="180"/>
    <n v="2510"/>
  </r>
  <r>
    <x v="621"/>
    <d v="2026-11-09T00:00:00"/>
    <s v="P005"/>
    <x v="2"/>
    <n v="2"/>
    <n v="300"/>
    <n v="0.1"/>
    <n v="10"/>
    <s v="Desk Lamp"/>
    <x v="2"/>
    <n v="20"/>
    <n v="600"/>
    <n v="30"/>
    <n v="40"/>
    <n v="550"/>
  </r>
  <r>
    <x v="622"/>
    <d v="2026-09-17T00:00:00"/>
    <s v="P005"/>
    <x v="3"/>
    <n v="4"/>
    <n v="300"/>
    <n v="0.35"/>
    <n v="15"/>
    <s v="Desk Lamp"/>
    <x v="2"/>
    <n v="20"/>
    <n v="1200"/>
    <n v="105"/>
    <n v="80"/>
    <n v="1105"/>
  </r>
  <r>
    <x v="623"/>
    <d v="2026-05-16T00:00:00"/>
    <s v="P005"/>
    <x v="1"/>
    <n v="15"/>
    <n v="300"/>
    <n v="0.35"/>
    <n v="15"/>
    <s v="Desk Lamp"/>
    <x v="2"/>
    <n v="20"/>
    <n v="4500"/>
    <n v="105"/>
    <n v="300"/>
    <n v="4185"/>
  </r>
  <r>
    <x v="624"/>
    <d v="2026-02-04T00:00:00"/>
    <s v="P005"/>
    <x v="3"/>
    <n v="21"/>
    <n v="300"/>
    <n v="0.2"/>
    <n v="5"/>
    <s v="Desk Lamp"/>
    <x v="2"/>
    <n v="20"/>
    <n v="6300"/>
    <n v="60"/>
    <n v="420"/>
    <n v="5875"/>
  </r>
  <r>
    <x v="625"/>
    <d v="2026-02-26T00:00:00"/>
    <s v="P005"/>
    <x v="3"/>
    <n v="19"/>
    <n v="300"/>
    <n v="0.1"/>
    <n v="15"/>
    <s v="Desk Lamp"/>
    <x v="2"/>
    <n v="20"/>
    <n v="5700"/>
    <n v="30"/>
    <n v="380"/>
    <n v="5305"/>
  </r>
  <r>
    <x v="626"/>
    <d v="2026-10-24T00:00:00"/>
    <s v="P005"/>
    <x v="2"/>
    <n v="9"/>
    <n v="300"/>
    <n v="0.35"/>
    <n v="5"/>
    <s v="Desk Lamp"/>
    <x v="2"/>
    <n v="20"/>
    <n v="2700"/>
    <n v="105"/>
    <n v="180"/>
    <n v="2515"/>
  </r>
  <r>
    <x v="627"/>
    <d v="2026-03-14T00:00:00"/>
    <s v="P005"/>
    <x v="3"/>
    <n v="25"/>
    <n v="300"/>
    <n v="0.35"/>
    <n v="10"/>
    <s v="Desk Lamp"/>
    <x v="2"/>
    <n v="20"/>
    <n v="7500"/>
    <n v="105"/>
    <n v="500"/>
    <n v="6990"/>
  </r>
  <r>
    <x v="628"/>
    <d v="2026-09-20T00:00:00"/>
    <s v="P005"/>
    <x v="1"/>
    <n v="3"/>
    <n v="300"/>
    <n v="0.35"/>
    <n v="20"/>
    <s v="Desk Lamp"/>
    <x v="2"/>
    <n v="20"/>
    <n v="900"/>
    <n v="105"/>
    <n v="60"/>
    <n v="820"/>
  </r>
  <r>
    <x v="629"/>
    <d v="2026-12-05T00:00:00"/>
    <s v="P005"/>
    <x v="2"/>
    <n v="18"/>
    <n v="300"/>
    <n v="0.35"/>
    <n v="20"/>
    <s v="Desk Lamp"/>
    <x v="2"/>
    <n v="20"/>
    <n v="5400"/>
    <n v="105"/>
    <n v="360"/>
    <n v="5020"/>
  </r>
  <r>
    <x v="630"/>
    <d v="2026-12-19T00:00:00"/>
    <s v="P005"/>
    <x v="0"/>
    <n v="20"/>
    <n v="300"/>
    <n v="0.35"/>
    <n v="5"/>
    <s v="Desk Lamp"/>
    <x v="2"/>
    <n v="20"/>
    <n v="6000"/>
    <n v="105"/>
    <n v="400"/>
    <n v="5595"/>
  </r>
  <r>
    <x v="631"/>
    <d v="2026-05-16T00:00:00"/>
    <s v="P005"/>
    <x v="2"/>
    <n v="21"/>
    <n v="300"/>
    <n v="0.35"/>
    <n v="5"/>
    <s v="Desk Lamp"/>
    <x v="2"/>
    <n v="20"/>
    <n v="6300"/>
    <n v="105"/>
    <n v="420"/>
    <n v="5875"/>
  </r>
  <r>
    <x v="632"/>
    <d v="2026-05-13T00:00:00"/>
    <s v="P005"/>
    <x v="3"/>
    <n v="15"/>
    <n v="300"/>
    <n v="0.35"/>
    <n v="15"/>
    <s v="Desk Lamp"/>
    <x v="2"/>
    <n v="20"/>
    <n v="4500"/>
    <n v="105"/>
    <n v="300"/>
    <n v="4185"/>
  </r>
  <r>
    <x v="633"/>
    <d v="2026-03-14T00:00:00"/>
    <s v="P005"/>
    <x v="0"/>
    <n v="11"/>
    <n v="300"/>
    <n v="0.2"/>
    <n v="5"/>
    <s v="Desk Lamp"/>
    <x v="2"/>
    <n v="20"/>
    <n v="3300"/>
    <n v="60"/>
    <n v="220"/>
    <n v="3075"/>
  </r>
  <r>
    <x v="634"/>
    <d v="2026-07-09T00:00:00"/>
    <s v="P005"/>
    <x v="2"/>
    <n v="25"/>
    <n v="300"/>
    <n v="0.2"/>
    <n v="5"/>
    <s v="Desk Lamp"/>
    <x v="2"/>
    <n v="20"/>
    <n v="7500"/>
    <n v="60"/>
    <n v="500"/>
    <n v="6995"/>
  </r>
  <r>
    <x v="635"/>
    <d v="2026-11-22T00:00:00"/>
    <s v="P005"/>
    <x v="0"/>
    <n v="8"/>
    <n v="300"/>
    <n v="0.35"/>
    <n v="5"/>
    <s v="Desk Lamp"/>
    <x v="2"/>
    <n v="20"/>
    <n v="2400"/>
    <n v="105"/>
    <n v="160"/>
    <n v="2235"/>
  </r>
  <r>
    <x v="636"/>
    <d v="2026-11-09T00:00:00"/>
    <s v="P005"/>
    <x v="0"/>
    <n v="2"/>
    <n v="300"/>
    <n v="0"/>
    <n v="10"/>
    <s v="Desk Lamp"/>
    <x v="2"/>
    <n v="20"/>
    <n v="600"/>
    <n v="0"/>
    <n v="40"/>
    <n v="550"/>
  </r>
  <r>
    <x v="637"/>
    <d v="2026-05-02T00:00:00"/>
    <s v="P005"/>
    <x v="2"/>
    <n v="7"/>
    <n v="300"/>
    <n v="0.2"/>
    <n v="10"/>
    <s v="Desk Lamp"/>
    <x v="2"/>
    <n v="20"/>
    <n v="2100"/>
    <n v="60"/>
    <n v="140"/>
    <n v="1950"/>
  </r>
  <r>
    <x v="638"/>
    <d v="2026-06-29T00:00:00"/>
    <s v="P005"/>
    <x v="2"/>
    <n v="21"/>
    <n v="300"/>
    <n v="0.1"/>
    <n v="10"/>
    <s v="Desk Lamp"/>
    <x v="2"/>
    <n v="20"/>
    <n v="6300"/>
    <n v="30"/>
    <n v="420"/>
    <n v="5870"/>
  </r>
  <r>
    <x v="639"/>
    <d v="2026-08-06T00:00:00"/>
    <s v="P005"/>
    <x v="3"/>
    <n v="20"/>
    <n v="300"/>
    <n v="0.1"/>
    <n v="20"/>
    <s v="Desk Lamp"/>
    <x v="2"/>
    <n v="20"/>
    <n v="6000"/>
    <n v="30"/>
    <n v="400"/>
    <n v="5580"/>
  </r>
  <r>
    <x v="640"/>
    <d v="2026-02-04T00:00:00"/>
    <s v="P005"/>
    <x v="1"/>
    <n v="22"/>
    <n v="300"/>
    <n v="0.2"/>
    <n v="15"/>
    <s v="Desk Lamp"/>
    <x v="2"/>
    <n v="20"/>
    <n v="6600"/>
    <n v="60"/>
    <n v="440"/>
    <n v="6145"/>
  </r>
  <r>
    <x v="641"/>
    <d v="2026-05-02T00:00:00"/>
    <s v="P005"/>
    <x v="1"/>
    <n v="13"/>
    <n v="300"/>
    <n v="0"/>
    <n v="15"/>
    <s v="Desk Lamp"/>
    <x v="2"/>
    <n v="20"/>
    <n v="3900"/>
    <n v="0"/>
    <n v="260"/>
    <n v="3625"/>
  </r>
  <r>
    <x v="642"/>
    <d v="2026-07-28T00:00:00"/>
    <s v="P005"/>
    <x v="1"/>
    <n v="11"/>
    <n v="300"/>
    <n v="0.1"/>
    <n v="20"/>
    <s v="Desk Lamp"/>
    <x v="2"/>
    <n v="20"/>
    <n v="3300"/>
    <n v="30"/>
    <n v="220"/>
    <n v="3060"/>
  </r>
  <r>
    <x v="643"/>
    <d v="2026-03-18T00:00:00"/>
    <s v="P005"/>
    <x v="3"/>
    <n v="10"/>
    <n v="300"/>
    <n v="0.2"/>
    <n v="5"/>
    <s v="Desk Lamp"/>
    <x v="2"/>
    <n v="20"/>
    <n v="3000"/>
    <n v="60"/>
    <n v="200"/>
    <n v="2795"/>
  </r>
  <r>
    <x v="644"/>
    <d v="2026-10-15T00:00:00"/>
    <s v="P005"/>
    <x v="2"/>
    <n v="6"/>
    <n v="300"/>
    <n v="0"/>
    <n v="20"/>
    <s v="Desk Lamp"/>
    <x v="2"/>
    <n v="20"/>
    <n v="1800"/>
    <n v="0"/>
    <n v="120"/>
    <n v="1660"/>
  </r>
  <r>
    <x v="645"/>
    <d v="2026-04-10T00:00:00"/>
    <s v="P005"/>
    <x v="0"/>
    <n v="13"/>
    <n v="300"/>
    <n v="0"/>
    <n v="10"/>
    <s v="Desk Lamp"/>
    <x v="2"/>
    <n v="20"/>
    <n v="3900"/>
    <n v="0"/>
    <n v="260"/>
    <n v="3630"/>
  </r>
  <r>
    <x v="646"/>
    <d v="2026-06-06T00:00:00"/>
    <s v="P005"/>
    <x v="1"/>
    <n v="9"/>
    <n v="300"/>
    <n v="0.1"/>
    <n v="10"/>
    <s v="Desk Lamp"/>
    <x v="2"/>
    <n v="20"/>
    <n v="2700"/>
    <n v="30"/>
    <n v="180"/>
    <n v="2510"/>
  </r>
  <r>
    <x v="647"/>
    <d v="2026-10-22T00:00:00"/>
    <s v="P005"/>
    <x v="3"/>
    <n v="1"/>
    <n v="300"/>
    <n v="0.35"/>
    <n v="5"/>
    <s v="Desk Lamp"/>
    <x v="2"/>
    <n v="20"/>
    <n v="300"/>
    <n v="105"/>
    <n v="20"/>
    <n v="275"/>
  </r>
  <r>
    <x v="648"/>
    <d v="2026-08-08T00:00:00"/>
    <s v="P005"/>
    <x v="2"/>
    <n v="25"/>
    <n v="300"/>
    <n v="0.35"/>
    <n v="15"/>
    <s v="Desk Lamp"/>
    <x v="2"/>
    <n v="20"/>
    <n v="7500"/>
    <n v="105"/>
    <n v="500"/>
    <n v="6985"/>
  </r>
  <r>
    <x v="649"/>
    <d v="2026-12-21T00:00:00"/>
    <s v="P005"/>
    <x v="2"/>
    <n v="11"/>
    <n v="300"/>
    <n v="0.2"/>
    <n v="20"/>
    <s v="Desk Lamp"/>
    <x v="2"/>
    <n v="20"/>
    <n v="3300"/>
    <n v="60"/>
    <n v="220"/>
    <n v="3060"/>
  </r>
  <r>
    <x v="650"/>
    <d v="2026-09-22T00:00:00"/>
    <s v="P005"/>
    <x v="2"/>
    <n v="1"/>
    <n v="300"/>
    <n v="0.1"/>
    <n v="15"/>
    <s v="Desk Lamp"/>
    <x v="2"/>
    <n v="20"/>
    <n v="300"/>
    <n v="30"/>
    <n v="20"/>
    <n v="265"/>
  </r>
  <r>
    <x v="651"/>
    <d v="2026-09-24T00:00:00"/>
    <s v="P005"/>
    <x v="3"/>
    <n v="19"/>
    <n v="300"/>
    <n v="0.35"/>
    <n v="15"/>
    <s v="Desk Lamp"/>
    <x v="2"/>
    <n v="20"/>
    <n v="5700"/>
    <n v="105"/>
    <n v="380"/>
    <n v="5305"/>
  </r>
  <r>
    <x v="652"/>
    <d v="2026-10-02T00:00:00"/>
    <s v="P005"/>
    <x v="1"/>
    <n v="22"/>
    <n v="300"/>
    <n v="0.35"/>
    <n v="20"/>
    <s v="Desk Lamp"/>
    <x v="2"/>
    <n v="20"/>
    <n v="6600"/>
    <n v="105"/>
    <n v="440"/>
    <n v="6140"/>
  </r>
  <r>
    <x v="653"/>
    <d v="2026-02-25T00:00:00"/>
    <s v="P005"/>
    <x v="0"/>
    <n v="24"/>
    <n v="300"/>
    <n v="0.1"/>
    <n v="15"/>
    <s v="Desk Lamp"/>
    <x v="2"/>
    <n v="20"/>
    <n v="7200"/>
    <n v="30"/>
    <n v="480"/>
    <n v="6705"/>
  </r>
  <r>
    <x v="654"/>
    <d v="2026-11-25T00:00:00"/>
    <s v="P005"/>
    <x v="2"/>
    <n v="23"/>
    <n v="300"/>
    <n v="0.1"/>
    <n v="20"/>
    <s v="Desk Lamp"/>
    <x v="2"/>
    <n v="20"/>
    <n v="6900"/>
    <n v="30"/>
    <n v="460"/>
    <n v="6420"/>
  </r>
  <r>
    <x v="655"/>
    <d v="2026-11-26T00:00:00"/>
    <s v="P005"/>
    <x v="3"/>
    <n v="4"/>
    <n v="300"/>
    <n v="0"/>
    <n v="20"/>
    <s v="Desk Lamp"/>
    <x v="2"/>
    <n v="20"/>
    <n v="1200"/>
    <n v="0"/>
    <n v="80"/>
    <n v="1100"/>
  </r>
  <r>
    <x v="656"/>
    <d v="2026-08-04T00:00:00"/>
    <s v="P005"/>
    <x v="3"/>
    <n v="22"/>
    <n v="300"/>
    <n v="0"/>
    <n v="20"/>
    <s v="Desk Lamp"/>
    <x v="2"/>
    <n v="20"/>
    <n v="6600"/>
    <n v="0"/>
    <n v="440"/>
    <n v="6140"/>
  </r>
  <r>
    <x v="657"/>
    <d v="2026-03-19T00:00:00"/>
    <s v="P005"/>
    <x v="2"/>
    <n v="3"/>
    <n v="300"/>
    <n v="0.35"/>
    <n v="20"/>
    <s v="Desk Lamp"/>
    <x v="2"/>
    <n v="20"/>
    <n v="900"/>
    <n v="105"/>
    <n v="60"/>
    <n v="820"/>
  </r>
  <r>
    <x v="658"/>
    <d v="2026-09-03T00:00:00"/>
    <s v="P005"/>
    <x v="0"/>
    <n v="16"/>
    <n v="300"/>
    <n v="0.2"/>
    <n v="15"/>
    <s v="Desk Lamp"/>
    <x v="2"/>
    <n v="20"/>
    <n v="4800"/>
    <n v="60"/>
    <n v="320"/>
    <n v="4465"/>
  </r>
  <r>
    <x v="659"/>
    <d v="2026-05-20T00:00:00"/>
    <s v="P005"/>
    <x v="0"/>
    <n v="18"/>
    <n v="300"/>
    <n v="0.2"/>
    <n v="10"/>
    <s v="Desk Lamp"/>
    <x v="2"/>
    <n v="20"/>
    <n v="5400"/>
    <n v="60"/>
    <n v="360"/>
    <n v="5030"/>
  </r>
  <r>
    <x v="660"/>
    <d v="2026-04-08T00:00:00"/>
    <s v="P005"/>
    <x v="2"/>
    <n v="10"/>
    <n v="300"/>
    <n v="0.2"/>
    <n v="15"/>
    <s v="Desk Lamp"/>
    <x v="2"/>
    <n v="20"/>
    <n v="3000"/>
    <n v="60"/>
    <n v="200"/>
    <n v="2785"/>
  </r>
  <r>
    <x v="661"/>
    <d v="2026-05-21T00:00:00"/>
    <s v="P005"/>
    <x v="0"/>
    <n v="1"/>
    <n v="300"/>
    <n v="0"/>
    <n v="20"/>
    <s v="Desk Lamp"/>
    <x v="2"/>
    <n v="20"/>
    <n v="300"/>
    <n v="0"/>
    <n v="20"/>
    <n v="260"/>
  </r>
  <r>
    <x v="662"/>
    <d v="2026-03-07T00:00:00"/>
    <s v="P005"/>
    <x v="1"/>
    <n v="2"/>
    <n v="300"/>
    <n v="0.1"/>
    <n v="10"/>
    <s v="Desk Lamp"/>
    <x v="2"/>
    <n v="20"/>
    <n v="600"/>
    <n v="30"/>
    <n v="40"/>
    <n v="550"/>
  </r>
  <r>
    <x v="663"/>
    <d v="2026-11-27T00:00:00"/>
    <s v="P005"/>
    <x v="3"/>
    <n v="24"/>
    <n v="300"/>
    <n v="0"/>
    <n v="10"/>
    <s v="Desk Lamp"/>
    <x v="2"/>
    <n v="20"/>
    <n v="7200"/>
    <n v="0"/>
    <n v="480"/>
    <n v="6710"/>
  </r>
  <r>
    <x v="664"/>
    <d v="2026-10-20T00:00:00"/>
    <s v="P005"/>
    <x v="1"/>
    <n v="20"/>
    <n v="300"/>
    <n v="0.2"/>
    <n v="15"/>
    <s v="Desk Lamp"/>
    <x v="2"/>
    <n v="20"/>
    <n v="6000"/>
    <n v="60"/>
    <n v="400"/>
    <n v="5585"/>
  </r>
  <r>
    <x v="665"/>
    <d v="2026-07-05T00:00:00"/>
    <s v="P005"/>
    <x v="1"/>
    <n v="2"/>
    <n v="300"/>
    <n v="0.2"/>
    <n v="20"/>
    <s v="Desk Lamp"/>
    <x v="2"/>
    <n v="20"/>
    <n v="600"/>
    <n v="60"/>
    <n v="40"/>
    <n v="540"/>
  </r>
  <r>
    <x v="666"/>
    <d v="2026-10-20T00:00:00"/>
    <s v="P005"/>
    <x v="1"/>
    <n v="12"/>
    <n v="300"/>
    <n v="0.35"/>
    <n v="15"/>
    <s v="Desk Lamp"/>
    <x v="2"/>
    <n v="20"/>
    <n v="3600"/>
    <n v="105"/>
    <n v="240"/>
    <n v="3345"/>
  </r>
  <r>
    <x v="667"/>
    <d v="2026-01-21T00:00:00"/>
    <s v="P005"/>
    <x v="1"/>
    <n v="6"/>
    <n v="300"/>
    <n v="0.2"/>
    <n v="5"/>
    <s v="Desk Lamp"/>
    <x v="2"/>
    <n v="20"/>
    <n v="1800"/>
    <n v="60"/>
    <n v="120"/>
    <n v="1675"/>
  </r>
  <r>
    <x v="668"/>
    <d v="2026-12-19T00:00:00"/>
    <s v="P005"/>
    <x v="0"/>
    <n v="4"/>
    <n v="300"/>
    <n v="0.1"/>
    <n v="15"/>
    <s v="Desk Lamp"/>
    <x v="2"/>
    <n v="20"/>
    <n v="1200"/>
    <n v="30"/>
    <n v="80"/>
    <n v="1105"/>
  </r>
  <r>
    <x v="669"/>
    <d v="2026-10-13T00:00:00"/>
    <s v="P005"/>
    <x v="1"/>
    <n v="21"/>
    <n v="300"/>
    <n v="0.2"/>
    <n v="10"/>
    <s v="Desk Lamp"/>
    <x v="2"/>
    <n v="20"/>
    <n v="6300"/>
    <n v="60"/>
    <n v="420"/>
    <n v="5870"/>
  </r>
  <r>
    <x v="670"/>
    <d v="2026-11-03T00:00:00"/>
    <s v="P005"/>
    <x v="0"/>
    <n v="23"/>
    <n v="300"/>
    <n v="0.1"/>
    <n v="5"/>
    <s v="Desk Lamp"/>
    <x v="2"/>
    <n v="20"/>
    <n v="6900"/>
    <n v="30"/>
    <n v="460"/>
    <n v="6435"/>
  </r>
  <r>
    <x v="671"/>
    <d v="2026-03-31T00:00:00"/>
    <s v="P005"/>
    <x v="2"/>
    <n v="22"/>
    <n v="300"/>
    <n v="0.2"/>
    <n v="5"/>
    <s v="Desk Lamp"/>
    <x v="2"/>
    <n v="20"/>
    <n v="6600"/>
    <n v="60"/>
    <n v="440"/>
    <n v="6155"/>
  </r>
  <r>
    <x v="672"/>
    <d v="2026-04-02T00:00:00"/>
    <s v="P005"/>
    <x v="3"/>
    <n v="7"/>
    <n v="300"/>
    <n v="0.2"/>
    <n v="20"/>
    <s v="Desk Lamp"/>
    <x v="2"/>
    <n v="20"/>
    <n v="2100"/>
    <n v="60"/>
    <n v="140"/>
    <n v="1940"/>
  </r>
  <r>
    <x v="673"/>
    <d v="2026-08-06T00:00:00"/>
    <s v="P005"/>
    <x v="2"/>
    <n v="20"/>
    <n v="300"/>
    <n v="0.2"/>
    <n v="5"/>
    <s v="Desk Lamp"/>
    <x v="2"/>
    <n v="20"/>
    <n v="6000"/>
    <n v="60"/>
    <n v="400"/>
    <n v="5595"/>
  </r>
  <r>
    <x v="674"/>
    <d v="2026-02-19T00:00:00"/>
    <s v="P005"/>
    <x v="1"/>
    <n v="7"/>
    <n v="300"/>
    <n v="0.2"/>
    <n v="20"/>
    <s v="Desk Lamp"/>
    <x v="2"/>
    <n v="20"/>
    <n v="2100"/>
    <n v="60"/>
    <n v="140"/>
    <n v="1940"/>
  </r>
  <r>
    <x v="675"/>
    <d v="2026-04-09T00:00:00"/>
    <s v="P005"/>
    <x v="0"/>
    <n v="25"/>
    <n v="300"/>
    <n v="0"/>
    <n v="5"/>
    <s v="Desk Lamp"/>
    <x v="2"/>
    <n v="20"/>
    <n v="7500"/>
    <n v="0"/>
    <n v="500"/>
    <n v="6995"/>
  </r>
  <r>
    <x v="676"/>
    <d v="2026-07-14T00:00:00"/>
    <s v="P005"/>
    <x v="0"/>
    <n v="23"/>
    <n v="300"/>
    <n v="0.1"/>
    <n v="20"/>
    <s v="Desk Lamp"/>
    <x v="2"/>
    <n v="20"/>
    <n v="6900"/>
    <n v="30"/>
    <n v="460"/>
    <n v="6420"/>
  </r>
  <r>
    <x v="677"/>
    <d v="2026-11-01T00:00:00"/>
    <s v="P005"/>
    <x v="3"/>
    <n v="4"/>
    <n v="300"/>
    <n v="0.35"/>
    <n v="10"/>
    <s v="Desk Lamp"/>
    <x v="2"/>
    <n v="20"/>
    <n v="1200"/>
    <n v="105"/>
    <n v="80"/>
    <n v="1110"/>
  </r>
  <r>
    <x v="678"/>
    <d v="2026-10-02T00:00:00"/>
    <s v="P005"/>
    <x v="0"/>
    <n v="16"/>
    <n v="300"/>
    <n v="0.35"/>
    <n v="5"/>
    <s v="Desk Lamp"/>
    <x v="2"/>
    <n v="20"/>
    <n v="4800"/>
    <n v="105"/>
    <n v="320"/>
    <n v="4475"/>
  </r>
  <r>
    <x v="679"/>
    <d v="2026-08-27T00:00:00"/>
    <s v="P005"/>
    <x v="1"/>
    <n v="15"/>
    <n v="300"/>
    <n v="0.2"/>
    <n v="20"/>
    <s v="Desk Lamp"/>
    <x v="2"/>
    <n v="20"/>
    <n v="4500"/>
    <n v="60"/>
    <n v="300"/>
    <n v="4180"/>
  </r>
  <r>
    <x v="680"/>
    <d v="2026-05-29T00:00:00"/>
    <s v="P005"/>
    <x v="1"/>
    <n v="3"/>
    <n v="300"/>
    <n v="0.2"/>
    <n v="5"/>
    <s v="Desk Lamp"/>
    <x v="2"/>
    <n v="20"/>
    <n v="900"/>
    <n v="60"/>
    <n v="60"/>
    <n v="835"/>
  </r>
  <r>
    <x v="681"/>
    <d v="2026-07-04T00:00:00"/>
    <s v="P005"/>
    <x v="2"/>
    <n v="4"/>
    <n v="300"/>
    <n v="0"/>
    <n v="20"/>
    <s v="Desk Lamp"/>
    <x v="2"/>
    <n v="20"/>
    <n v="1200"/>
    <n v="0"/>
    <n v="80"/>
    <n v="1100"/>
  </r>
  <r>
    <x v="682"/>
    <d v="2026-10-30T00:00:00"/>
    <s v="P005"/>
    <x v="1"/>
    <n v="11"/>
    <n v="300"/>
    <n v="0"/>
    <n v="20"/>
    <s v="Desk Lamp"/>
    <x v="2"/>
    <n v="20"/>
    <n v="3300"/>
    <n v="0"/>
    <n v="220"/>
    <n v="3060"/>
  </r>
  <r>
    <x v="683"/>
    <d v="2026-11-11T00:00:00"/>
    <s v="P005"/>
    <x v="1"/>
    <n v="5"/>
    <n v="300"/>
    <n v="0.35"/>
    <n v="10"/>
    <s v="Desk Lamp"/>
    <x v="2"/>
    <n v="20"/>
    <n v="1500"/>
    <n v="105"/>
    <n v="100"/>
    <n v="1390"/>
  </r>
  <r>
    <x v="684"/>
    <d v="2026-07-06T00:00:00"/>
    <s v="P005"/>
    <x v="1"/>
    <n v="25"/>
    <n v="300"/>
    <n v="0.35"/>
    <n v="20"/>
    <s v="Desk Lamp"/>
    <x v="2"/>
    <n v="20"/>
    <n v="7500"/>
    <n v="105"/>
    <n v="500"/>
    <n v="6980"/>
  </r>
  <r>
    <x v="685"/>
    <d v="2026-07-11T00:00:00"/>
    <s v="P005"/>
    <x v="2"/>
    <n v="3"/>
    <n v="300"/>
    <n v="0.2"/>
    <n v="20"/>
    <s v="Desk Lamp"/>
    <x v="2"/>
    <n v="20"/>
    <n v="900"/>
    <n v="60"/>
    <n v="60"/>
    <n v="820"/>
  </r>
  <r>
    <x v="686"/>
    <d v="2026-11-13T00:00:00"/>
    <s v="P005"/>
    <x v="1"/>
    <n v="15"/>
    <n v="300"/>
    <n v="0.35"/>
    <n v="10"/>
    <s v="Desk Lamp"/>
    <x v="2"/>
    <n v="20"/>
    <n v="4500"/>
    <n v="105"/>
    <n v="300"/>
    <n v="4190"/>
  </r>
  <r>
    <x v="687"/>
    <d v="2026-12-05T00:00:00"/>
    <s v="P005"/>
    <x v="3"/>
    <n v="23"/>
    <n v="300"/>
    <n v="0.2"/>
    <n v="15"/>
    <s v="Desk Lamp"/>
    <x v="2"/>
    <n v="20"/>
    <n v="6900"/>
    <n v="60"/>
    <n v="460"/>
    <n v="6425"/>
  </r>
  <r>
    <x v="688"/>
    <d v="2026-10-06T00:00:00"/>
    <s v="P005"/>
    <x v="2"/>
    <n v="20"/>
    <n v="300"/>
    <n v="0"/>
    <n v="5"/>
    <s v="Desk Lamp"/>
    <x v="2"/>
    <n v="20"/>
    <n v="6000"/>
    <n v="0"/>
    <n v="400"/>
    <n v="5595"/>
  </r>
  <r>
    <x v="689"/>
    <d v="2026-03-30T00:00:00"/>
    <s v="P005"/>
    <x v="1"/>
    <n v="4"/>
    <n v="300"/>
    <n v="0"/>
    <n v="15"/>
    <s v="Desk Lamp"/>
    <x v="2"/>
    <n v="20"/>
    <n v="1200"/>
    <n v="0"/>
    <n v="80"/>
    <n v="1105"/>
  </r>
  <r>
    <x v="690"/>
    <d v="2026-12-03T00:00:00"/>
    <s v="P005"/>
    <x v="2"/>
    <n v="24"/>
    <n v="300"/>
    <n v="0.35"/>
    <n v="5"/>
    <s v="Desk Lamp"/>
    <x v="2"/>
    <n v="20"/>
    <n v="7200"/>
    <n v="105"/>
    <n v="480"/>
    <n v="6715"/>
  </r>
  <r>
    <x v="691"/>
    <d v="2026-10-24T00:00:00"/>
    <s v="P005"/>
    <x v="3"/>
    <n v="15"/>
    <n v="300"/>
    <n v="0.35"/>
    <n v="5"/>
    <s v="Desk Lamp"/>
    <x v="2"/>
    <n v="20"/>
    <n v="4500"/>
    <n v="105"/>
    <n v="300"/>
    <n v="4195"/>
  </r>
  <r>
    <x v="692"/>
    <d v="2026-03-01T00:00:00"/>
    <s v="P005"/>
    <x v="2"/>
    <n v="21"/>
    <n v="300"/>
    <n v="0.35"/>
    <n v="15"/>
    <s v="Desk Lamp"/>
    <x v="2"/>
    <n v="20"/>
    <n v="6300"/>
    <n v="105"/>
    <n v="420"/>
    <n v="5865"/>
  </r>
  <r>
    <x v="693"/>
    <d v="2026-09-15T00:00:00"/>
    <s v="P005"/>
    <x v="2"/>
    <n v="9"/>
    <n v="300"/>
    <n v="0.1"/>
    <n v="10"/>
    <s v="Desk Lamp"/>
    <x v="2"/>
    <n v="20"/>
    <n v="2700"/>
    <n v="30"/>
    <n v="180"/>
    <n v="2510"/>
  </r>
  <r>
    <x v="694"/>
    <d v="2026-02-21T00:00:00"/>
    <s v="P005"/>
    <x v="3"/>
    <n v="15"/>
    <n v="300"/>
    <n v="0"/>
    <n v="15"/>
    <s v="Desk Lamp"/>
    <x v="2"/>
    <n v="20"/>
    <n v="4500"/>
    <n v="0"/>
    <n v="300"/>
    <n v="4185"/>
  </r>
  <r>
    <x v="695"/>
    <d v="2026-04-22T00:00:00"/>
    <s v="P005"/>
    <x v="2"/>
    <n v="22"/>
    <n v="300"/>
    <n v="0.2"/>
    <n v="10"/>
    <s v="Desk Lamp"/>
    <x v="2"/>
    <n v="20"/>
    <n v="6600"/>
    <n v="60"/>
    <n v="440"/>
    <n v="6150"/>
  </r>
  <r>
    <x v="696"/>
    <d v="2026-11-21T00:00:00"/>
    <s v="P005"/>
    <x v="2"/>
    <n v="23"/>
    <n v="300"/>
    <n v="0.2"/>
    <n v="10"/>
    <s v="Desk Lamp"/>
    <x v="2"/>
    <n v="20"/>
    <n v="6900"/>
    <n v="60"/>
    <n v="460"/>
    <n v="6430"/>
  </r>
  <r>
    <x v="697"/>
    <d v="2026-03-12T00:00:00"/>
    <s v="P005"/>
    <x v="0"/>
    <n v="7"/>
    <n v="300"/>
    <n v="0.35"/>
    <n v="20"/>
    <s v="Desk Lamp"/>
    <x v="2"/>
    <n v="20"/>
    <n v="2100"/>
    <n v="105"/>
    <n v="140"/>
    <n v="1940"/>
  </r>
  <r>
    <x v="698"/>
    <d v="2026-12-09T00:00:00"/>
    <s v="P005"/>
    <x v="1"/>
    <n v="9"/>
    <n v="300"/>
    <n v="0.35"/>
    <n v="5"/>
    <s v="Desk Lamp"/>
    <x v="2"/>
    <n v="20"/>
    <n v="2700"/>
    <n v="105"/>
    <n v="180"/>
    <n v="2515"/>
  </r>
  <r>
    <x v="699"/>
    <d v="2026-11-26T00:00:00"/>
    <s v="P005"/>
    <x v="3"/>
    <n v="2"/>
    <n v="300"/>
    <n v="0.1"/>
    <n v="5"/>
    <s v="Desk Lamp"/>
    <x v="2"/>
    <n v="20"/>
    <n v="600"/>
    <n v="30"/>
    <n v="40"/>
    <n v="555"/>
  </r>
  <r>
    <x v="700"/>
    <d v="2026-09-04T00:00:00"/>
    <s v="P005"/>
    <x v="2"/>
    <n v="10"/>
    <n v="300"/>
    <n v="0"/>
    <n v="5"/>
    <s v="Desk Lamp"/>
    <x v="2"/>
    <n v="20"/>
    <n v="3000"/>
    <n v="0"/>
    <n v="200"/>
    <n v="2795"/>
  </r>
  <r>
    <x v="701"/>
    <d v="2026-06-20T00:00:00"/>
    <s v="P005"/>
    <x v="2"/>
    <n v="2"/>
    <n v="300"/>
    <n v="0.2"/>
    <n v="20"/>
    <s v="Desk Lamp"/>
    <x v="2"/>
    <n v="20"/>
    <n v="600"/>
    <n v="60"/>
    <n v="40"/>
    <n v="540"/>
  </r>
  <r>
    <x v="702"/>
    <d v="2026-06-05T00:00:00"/>
    <s v="P005"/>
    <x v="0"/>
    <n v="14"/>
    <n v="300"/>
    <n v="0.1"/>
    <n v="10"/>
    <s v="Desk Lamp"/>
    <x v="2"/>
    <n v="20"/>
    <n v="4200"/>
    <n v="30"/>
    <n v="280"/>
    <n v="3910"/>
  </r>
  <r>
    <x v="703"/>
    <d v="2026-04-23T00:00:00"/>
    <s v="P005"/>
    <x v="1"/>
    <n v="15"/>
    <n v="300"/>
    <n v="0"/>
    <n v="20"/>
    <s v="Desk Lamp"/>
    <x v="2"/>
    <n v="20"/>
    <n v="4500"/>
    <n v="0"/>
    <n v="300"/>
    <n v="4180"/>
  </r>
  <r>
    <x v="704"/>
    <d v="2026-03-02T00:00:00"/>
    <s v="P005"/>
    <x v="1"/>
    <n v="20"/>
    <n v="300"/>
    <n v="0.35"/>
    <n v="5"/>
    <s v="Desk Lamp"/>
    <x v="2"/>
    <n v="20"/>
    <n v="6000"/>
    <n v="105"/>
    <n v="400"/>
    <n v="5595"/>
  </r>
  <r>
    <x v="705"/>
    <d v="2026-01-09T00:00:00"/>
    <s v="P005"/>
    <x v="0"/>
    <n v="24"/>
    <n v="300"/>
    <n v="0"/>
    <n v="20"/>
    <s v="Desk Lamp"/>
    <x v="2"/>
    <n v="20"/>
    <n v="7200"/>
    <n v="0"/>
    <n v="480"/>
    <n v="6700"/>
  </r>
  <r>
    <x v="706"/>
    <d v="2026-04-15T00:00:00"/>
    <s v="P005"/>
    <x v="0"/>
    <n v="19"/>
    <n v="300"/>
    <n v="0.1"/>
    <n v="10"/>
    <s v="Desk Lamp"/>
    <x v="2"/>
    <n v="20"/>
    <n v="5700"/>
    <n v="30"/>
    <n v="380"/>
    <n v="5310"/>
  </r>
  <r>
    <x v="707"/>
    <d v="2026-01-11T00:00:00"/>
    <s v="P005"/>
    <x v="3"/>
    <n v="24"/>
    <n v="300"/>
    <n v="0"/>
    <n v="10"/>
    <s v="Desk Lamp"/>
    <x v="2"/>
    <n v="20"/>
    <n v="7200"/>
    <n v="0"/>
    <n v="480"/>
    <n v="6710"/>
  </r>
  <r>
    <x v="708"/>
    <d v="2026-12-07T00:00:00"/>
    <s v="P005"/>
    <x v="2"/>
    <n v="23"/>
    <n v="300"/>
    <n v="0"/>
    <n v="10"/>
    <s v="Desk Lamp"/>
    <x v="2"/>
    <n v="20"/>
    <n v="6900"/>
    <n v="0"/>
    <n v="460"/>
    <n v="6430"/>
  </r>
  <r>
    <x v="709"/>
    <d v="2026-12-26T00:00:00"/>
    <s v="P005"/>
    <x v="1"/>
    <n v="1"/>
    <n v="300"/>
    <n v="0"/>
    <n v="10"/>
    <s v="Desk Lamp"/>
    <x v="2"/>
    <n v="20"/>
    <n v="300"/>
    <n v="0"/>
    <n v="20"/>
    <n v="270"/>
  </r>
  <r>
    <x v="710"/>
    <d v="2026-04-24T00:00:00"/>
    <s v="P005"/>
    <x v="2"/>
    <n v="9"/>
    <n v="300"/>
    <n v="0"/>
    <n v="15"/>
    <s v="Desk Lamp"/>
    <x v="2"/>
    <n v="20"/>
    <n v="2700"/>
    <n v="0"/>
    <n v="180"/>
    <n v="2505"/>
  </r>
  <r>
    <x v="711"/>
    <d v="2026-04-12T00:00:00"/>
    <s v="P005"/>
    <x v="2"/>
    <n v="7"/>
    <n v="300"/>
    <n v="0.2"/>
    <n v="10"/>
    <s v="Desk Lamp"/>
    <x v="2"/>
    <n v="20"/>
    <n v="2100"/>
    <n v="60"/>
    <n v="140"/>
    <n v="1950"/>
  </r>
  <r>
    <x v="712"/>
    <d v="2026-06-23T00:00:00"/>
    <s v="P005"/>
    <x v="0"/>
    <n v="21"/>
    <n v="300"/>
    <n v="0"/>
    <n v="5"/>
    <s v="Desk Lamp"/>
    <x v="2"/>
    <n v="20"/>
    <n v="6300"/>
    <n v="0"/>
    <n v="420"/>
    <n v="5875"/>
  </r>
  <r>
    <x v="713"/>
    <d v="2026-11-12T00:00:00"/>
    <s v="P005"/>
    <x v="2"/>
    <n v="21"/>
    <n v="300"/>
    <n v="0.2"/>
    <n v="20"/>
    <s v="Desk Lamp"/>
    <x v="2"/>
    <n v="20"/>
    <n v="6300"/>
    <n v="60"/>
    <n v="420"/>
    <n v="5860"/>
  </r>
  <r>
    <x v="714"/>
    <d v="2026-12-05T00:00:00"/>
    <s v="P005"/>
    <x v="2"/>
    <n v="17"/>
    <n v="300"/>
    <n v="0.35"/>
    <n v="20"/>
    <s v="Desk Lamp"/>
    <x v="2"/>
    <n v="20"/>
    <n v="5100"/>
    <n v="105"/>
    <n v="340"/>
    <n v="4740"/>
  </r>
  <r>
    <x v="715"/>
    <d v="2026-01-31T00:00:00"/>
    <s v="P005"/>
    <x v="1"/>
    <n v="6"/>
    <n v="300"/>
    <n v="0"/>
    <n v="10"/>
    <s v="Desk Lamp"/>
    <x v="2"/>
    <n v="20"/>
    <n v="1800"/>
    <n v="0"/>
    <n v="120"/>
    <n v="1670"/>
  </r>
  <r>
    <x v="716"/>
    <d v="2026-02-18T00:00:00"/>
    <s v="P005"/>
    <x v="0"/>
    <n v="23"/>
    <n v="300"/>
    <n v="0.1"/>
    <n v="20"/>
    <s v="Desk Lamp"/>
    <x v="2"/>
    <n v="20"/>
    <n v="6900"/>
    <n v="30"/>
    <n v="460"/>
    <n v="6420"/>
  </r>
  <r>
    <x v="717"/>
    <d v="2026-07-06T00:00:00"/>
    <s v="P005"/>
    <x v="0"/>
    <n v="4"/>
    <n v="300"/>
    <n v="0"/>
    <n v="10"/>
    <s v="Desk Lamp"/>
    <x v="2"/>
    <n v="20"/>
    <n v="1200"/>
    <n v="0"/>
    <n v="80"/>
    <n v="1110"/>
  </r>
  <r>
    <x v="718"/>
    <d v="2026-08-19T00:00:00"/>
    <s v="P005"/>
    <x v="3"/>
    <n v="23"/>
    <n v="300"/>
    <n v="0.2"/>
    <n v="10"/>
    <s v="Desk Lamp"/>
    <x v="2"/>
    <n v="20"/>
    <n v="6900"/>
    <n v="60"/>
    <n v="460"/>
    <n v="6430"/>
  </r>
  <r>
    <x v="719"/>
    <d v="2026-09-05T00:00:00"/>
    <s v="P005"/>
    <x v="0"/>
    <n v="16"/>
    <n v="300"/>
    <n v="0"/>
    <n v="5"/>
    <s v="Desk Lamp"/>
    <x v="2"/>
    <n v="20"/>
    <n v="4800"/>
    <n v="0"/>
    <n v="320"/>
    <n v="4475"/>
  </r>
  <r>
    <x v="720"/>
    <d v="2026-10-18T00:00:00"/>
    <s v="P005"/>
    <x v="3"/>
    <n v="1"/>
    <n v="300"/>
    <n v="0.1"/>
    <n v="10"/>
    <s v="Desk Lamp"/>
    <x v="2"/>
    <n v="20"/>
    <n v="300"/>
    <n v="30"/>
    <n v="20"/>
    <n v="270"/>
  </r>
  <r>
    <x v="721"/>
    <d v="2026-06-11T00:00:00"/>
    <s v="P005"/>
    <x v="1"/>
    <n v="24"/>
    <n v="300"/>
    <n v="0.2"/>
    <n v="10"/>
    <s v="Desk Lamp"/>
    <x v="2"/>
    <n v="20"/>
    <n v="7200"/>
    <n v="60"/>
    <n v="480"/>
    <n v="6710"/>
  </r>
  <r>
    <x v="722"/>
    <d v="2026-03-12T00:00:00"/>
    <s v="P005"/>
    <x v="0"/>
    <n v="18"/>
    <n v="300"/>
    <n v="0.35"/>
    <n v="15"/>
    <s v="Desk Lamp"/>
    <x v="2"/>
    <n v="20"/>
    <n v="5400"/>
    <n v="105"/>
    <n v="360"/>
    <n v="5025"/>
  </r>
  <r>
    <x v="723"/>
    <d v="2026-04-06T00:00:00"/>
    <s v="P005"/>
    <x v="3"/>
    <n v="2"/>
    <n v="300"/>
    <n v="0.35"/>
    <n v="20"/>
    <s v="Desk Lamp"/>
    <x v="2"/>
    <n v="20"/>
    <n v="600"/>
    <n v="105"/>
    <n v="40"/>
    <n v="540"/>
  </r>
  <r>
    <x v="724"/>
    <d v="2026-10-19T00:00:00"/>
    <s v="P005"/>
    <x v="0"/>
    <n v="19"/>
    <n v="300"/>
    <n v="0"/>
    <n v="20"/>
    <s v="Desk Lamp"/>
    <x v="2"/>
    <n v="20"/>
    <n v="5700"/>
    <n v="0"/>
    <n v="380"/>
    <n v="5300"/>
  </r>
  <r>
    <x v="725"/>
    <d v="2026-09-13T00:00:00"/>
    <s v="P005"/>
    <x v="3"/>
    <n v="12"/>
    <n v="300"/>
    <n v="0.1"/>
    <n v="20"/>
    <s v="Desk Lamp"/>
    <x v="2"/>
    <n v="20"/>
    <n v="3600"/>
    <n v="30"/>
    <n v="240"/>
    <n v="3340"/>
  </r>
  <r>
    <x v="726"/>
    <d v="2026-04-02T00:00:00"/>
    <s v="P005"/>
    <x v="3"/>
    <n v="21"/>
    <n v="300"/>
    <n v="0"/>
    <n v="10"/>
    <s v="Desk Lamp"/>
    <x v="2"/>
    <n v="20"/>
    <n v="6300"/>
    <n v="0"/>
    <n v="420"/>
    <n v="5870"/>
  </r>
  <r>
    <x v="727"/>
    <d v="2026-09-27T00:00:00"/>
    <s v="P005"/>
    <x v="0"/>
    <n v="25"/>
    <n v="300"/>
    <n v="0"/>
    <n v="15"/>
    <s v="Desk Lamp"/>
    <x v="2"/>
    <n v="20"/>
    <n v="7500"/>
    <n v="0"/>
    <n v="500"/>
    <n v="6985"/>
  </r>
  <r>
    <x v="728"/>
    <d v="2026-08-24T00:00:00"/>
    <s v="P005"/>
    <x v="2"/>
    <n v="1"/>
    <n v="300"/>
    <n v="0.35"/>
    <n v="15"/>
    <s v="Desk Lamp"/>
    <x v="2"/>
    <n v="20"/>
    <n v="300"/>
    <n v="105"/>
    <n v="20"/>
    <n v="265"/>
  </r>
  <r>
    <x v="729"/>
    <d v="2026-08-14T00:00:00"/>
    <s v="P005"/>
    <x v="1"/>
    <n v="15"/>
    <n v="300"/>
    <n v="0"/>
    <n v="10"/>
    <s v="Desk Lamp"/>
    <x v="2"/>
    <n v="20"/>
    <n v="4500"/>
    <n v="0"/>
    <n v="300"/>
    <n v="4190"/>
  </r>
  <r>
    <x v="730"/>
    <d v="2026-06-15T00:00:00"/>
    <s v="P005"/>
    <x v="2"/>
    <n v="21"/>
    <n v="300"/>
    <n v="0.2"/>
    <n v="15"/>
    <s v="Desk Lamp"/>
    <x v="2"/>
    <n v="20"/>
    <n v="6300"/>
    <n v="60"/>
    <n v="420"/>
    <n v="5865"/>
  </r>
  <r>
    <x v="731"/>
    <d v="2026-08-09T00:00:00"/>
    <s v="P005"/>
    <x v="0"/>
    <n v="7"/>
    <n v="300"/>
    <n v="0.35"/>
    <n v="10"/>
    <s v="Desk Lamp"/>
    <x v="2"/>
    <n v="20"/>
    <n v="2100"/>
    <n v="105"/>
    <n v="140"/>
    <n v="1950"/>
  </r>
  <r>
    <x v="732"/>
    <d v="2026-10-28T00:00:00"/>
    <s v="P005"/>
    <x v="0"/>
    <n v="21"/>
    <n v="300"/>
    <n v="0.2"/>
    <n v="5"/>
    <s v="Desk Lamp"/>
    <x v="2"/>
    <n v="20"/>
    <n v="6300"/>
    <n v="60"/>
    <n v="420"/>
    <n v="5875"/>
  </r>
  <r>
    <x v="733"/>
    <d v="2026-06-20T00:00:00"/>
    <s v="P005"/>
    <x v="0"/>
    <n v="5"/>
    <n v="300"/>
    <n v="0.35"/>
    <n v="10"/>
    <s v="Desk Lamp"/>
    <x v="2"/>
    <n v="20"/>
    <n v="1500"/>
    <n v="105"/>
    <n v="100"/>
    <n v="1390"/>
  </r>
  <r>
    <x v="734"/>
    <d v="2026-03-01T00:00:00"/>
    <s v="P005"/>
    <x v="2"/>
    <n v="16"/>
    <n v="300"/>
    <n v="0"/>
    <n v="15"/>
    <s v="Desk Lamp"/>
    <x v="2"/>
    <n v="20"/>
    <n v="4800"/>
    <n v="0"/>
    <n v="320"/>
    <n v="4465"/>
  </r>
  <r>
    <x v="735"/>
    <d v="2026-04-08T00:00:00"/>
    <s v="P005"/>
    <x v="2"/>
    <n v="13"/>
    <n v="300"/>
    <n v="0.2"/>
    <n v="5"/>
    <s v="Desk Lamp"/>
    <x v="2"/>
    <n v="20"/>
    <n v="3900"/>
    <n v="60"/>
    <n v="260"/>
    <n v="3635"/>
  </r>
  <r>
    <x v="736"/>
    <d v="2026-05-22T00:00:00"/>
    <s v="P005"/>
    <x v="1"/>
    <n v="10"/>
    <n v="300"/>
    <n v="0.1"/>
    <n v="20"/>
    <s v="Desk Lamp"/>
    <x v="2"/>
    <n v="20"/>
    <n v="3000"/>
    <n v="30"/>
    <n v="200"/>
    <n v="2780"/>
  </r>
  <r>
    <x v="737"/>
    <d v="2026-07-26T00:00:00"/>
    <s v="P005"/>
    <x v="0"/>
    <n v="8"/>
    <n v="300"/>
    <n v="0.35"/>
    <n v="20"/>
    <s v="Desk Lamp"/>
    <x v="2"/>
    <n v="20"/>
    <n v="2400"/>
    <n v="105"/>
    <n v="160"/>
    <n v="2220"/>
  </r>
  <r>
    <x v="738"/>
    <d v="2026-08-11T00:00:00"/>
    <s v="P005"/>
    <x v="3"/>
    <n v="14"/>
    <n v="300"/>
    <n v="0.35"/>
    <n v="20"/>
    <s v="Desk Lamp"/>
    <x v="2"/>
    <n v="20"/>
    <n v="4200"/>
    <n v="105"/>
    <n v="280"/>
    <n v="3900"/>
  </r>
  <r>
    <x v="739"/>
    <d v="2026-01-27T00:00:00"/>
    <s v="P005"/>
    <x v="0"/>
    <n v="22"/>
    <n v="300"/>
    <n v="0.2"/>
    <n v="10"/>
    <s v="Desk Lamp"/>
    <x v="2"/>
    <n v="20"/>
    <n v="6600"/>
    <n v="60"/>
    <n v="440"/>
    <n v="6150"/>
  </r>
  <r>
    <x v="740"/>
    <d v="2026-11-25T00:00:00"/>
    <s v="P005"/>
    <x v="1"/>
    <n v="8"/>
    <n v="300"/>
    <n v="0.2"/>
    <n v="15"/>
    <s v="Desk Lamp"/>
    <x v="2"/>
    <n v="20"/>
    <n v="2400"/>
    <n v="60"/>
    <n v="160"/>
    <n v="2225"/>
  </r>
  <r>
    <x v="741"/>
    <d v="2026-02-13T00:00:00"/>
    <s v="P005"/>
    <x v="0"/>
    <n v="25"/>
    <n v="300"/>
    <n v="0.2"/>
    <n v="15"/>
    <s v="Desk Lamp"/>
    <x v="2"/>
    <n v="20"/>
    <n v="7500"/>
    <n v="60"/>
    <n v="500"/>
    <n v="6985"/>
  </r>
  <r>
    <x v="742"/>
    <d v="2026-04-17T00:00:00"/>
    <s v="P005"/>
    <x v="2"/>
    <n v="10"/>
    <n v="300"/>
    <n v="0.35"/>
    <n v="15"/>
    <s v="Desk Lamp"/>
    <x v="2"/>
    <n v="20"/>
    <n v="3000"/>
    <n v="105"/>
    <n v="200"/>
    <n v="2785"/>
  </r>
  <r>
    <x v="743"/>
    <d v="2026-08-29T00:00:00"/>
    <s v="P005"/>
    <x v="2"/>
    <n v="5"/>
    <n v="300"/>
    <n v="0.1"/>
    <n v="15"/>
    <s v="Desk Lamp"/>
    <x v="2"/>
    <n v="20"/>
    <n v="1500"/>
    <n v="30"/>
    <n v="100"/>
    <n v="1385"/>
  </r>
  <r>
    <x v="744"/>
    <d v="2026-07-12T00:00:00"/>
    <s v="P005"/>
    <x v="1"/>
    <n v="11"/>
    <n v="300"/>
    <n v="0.2"/>
    <n v="20"/>
    <s v="Desk Lamp"/>
    <x v="2"/>
    <n v="20"/>
    <n v="3300"/>
    <n v="60"/>
    <n v="220"/>
    <n v="3060"/>
  </r>
  <r>
    <x v="745"/>
    <d v="2026-06-08T00:00:00"/>
    <s v="P005"/>
    <x v="2"/>
    <n v="20"/>
    <n v="300"/>
    <n v="0.35"/>
    <n v="20"/>
    <s v="Desk Lamp"/>
    <x v="2"/>
    <n v="20"/>
    <n v="6000"/>
    <n v="105"/>
    <n v="400"/>
    <n v="5580"/>
  </r>
  <r>
    <x v="746"/>
    <d v="2026-06-26T00:00:00"/>
    <s v="P005"/>
    <x v="3"/>
    <n v="8"/>
    <n v="300"/>
    <n v="0.2"/>
    <n v="15"/>
    <s v="Desk Lamp"/>
    <x v="2"/>
    <n v="20"/>
    <n v="2400"/>
    <n v="60"/>
    <n v="160"/>
    <n v="2225"/>
  </r>
  <r>
    <x v="747"/>
    <d v="2026-10-16T00:00:00"/>
    <s v="P005"/>
    <x v="0"/>
    <n v="14"/>
    <n v="300"/>
    <n v="0.35"/>
    <n v="5"/>
    <s v="Desk Lamp"/>
    <x v="2"/>
    <n v="20"/>
    <n v="4200"/>
    <n v="105"/>
    <n v="280"/>
    <n v="3915"/>
  </r>
  <r>
    <x v="748"/>
    <d v="2026-11-06T00:00:00"/>
    <s v="P005"/>
    <x v="1"/>
    <n v="16"/>
    <n v="300"/>
    <n v="0.2"/>
    <n v="20"/>
    <s v="Desk Lamp"/>
    <x v="2"/>
    <n v="20"/>
    <n v="4800"/>
    <n v="60"/>
    <n v="320"/>
    <n v="4460"/>
  </r>
  <r>
    <x v="749"/>
    <d v="2026-11-22T00:00:00"/>
    <s v="P005"/>
    <x v="0"/>
    <n v="15"/>
    <n v="300"/>
    <n v="0.2"/>
    <n v="20"/>
    <s v="Desk Lamp"/>
    <x v="2"/>
    <n v="20"/>
    <n v="4500"/>
    <n v="60"/>
    <n v="300"/>
    <n v="4180"/>
  </r>
  <r>
    <x v="750"/>
    <d v="2026-05-29T00:00:00"/>
    <s v="P005"/>
    <x v="3"/>
    <n v="7"/>
    <n v="300"/>
    <n v="0.35"/>
    <n v="15"/>
    <s v="Desk Lamp"/>
    <x v="2"/>
    <n v="20"/>
    <n v="2100"/>
    <n v="105"/>
    <n v="140"/>
    <n v="1945"/>
  </r>
  <r>
    <x v="751"/>
    <d v="2026-11-14T00:00:00"/>
    <s v="P005"/>
    <x v="1"/>
    <n v="14"/>
    <n v="300"/>
    <n v="0.2"/>
    <n v="20"/>
    <s v="Desk Lamp"/>
    <x v="2"/>
    <n v="20"/>
    <n v="4200"/>
    <n v="60"/>
    <n v="280"/>
    <n v="3900"/>
  </r>
  <r>
    <x v="752"/>
    <d v="2026-09-30T00:00:00"/>
    <s v="P005"/>
    <x v="1"/>
    <n v="12"/>
    <n v="300"/>
    <n v="0.2"/>
    <n v="20"/>
    <s v="Desk Lamp"/>
    <x v="2"/>
    <n v="20"/>
    <n v="3600"/>
    <n v="60"/>
    <n v="240"/>
    <n v="3340"/>
  </r>
  <r>
    <x v="753"/>
    <d v="2026-10-20T00:00:00"/>
    <s v="P005"/>
    <x v="2"/>
    <n v="6"/>
    <n v="300"/>
    <n v="0.35"/>
    <n v="15"/>
    <s v="Desk Lamp"/>
    <x v="2"/>
    <n v="20"/>
    <n v="1800"/>
    <n v="105"/>
    <n v="120"/>
    <n v="1665"/>
  </r>
  <r>
    <x v="754"/>
    <d v="2026-06-06T00:00:00"/>
    <s v="P005"/>
    <x v="0"/>
    <n v="5"/>
    <n v="300"/>
    <n v="0"/>
    <n v="10"/>
    <s v="Desk Lamp"/>
    <x v="2"/>
    <n v="20"/>
    <n v="1500"/>
    <n v="0"/>
    <n v="100"/>
    <n v="1390"/>
  </r>
  <r>
    <x v="755"/>
    <d v="2026-02-09T00:00:00"/>
    <s v="P005"/>
    <x v="1"/>
    <n v="23"/>
    <n v="300"/>
    <n v="0.35"/>
    <n v="10"/>
    <s v="Desk Lamp"/>
    <x v="2"/>
    <n v="20"/>
    <n v="6900"/>
    <n v="105"/>
    <n v="460"/>
    <n v="6430"/>
  </r>
  <r>
    <x v="756"/>
    <d v="2026-10-24T00:00:00"/>
    <s v="P005"/>
    <x v="3"/>
    <n v="11"/>
    <n v="300"/>
    <n v="0"/>
    <n v="20"/>
    <s v="Desk Lamp"/>
    <x v="2"/>
    <n v="20"/>
    <n v="3300"/>
    <n v="0"/>
    <n v="220"/>
    <n v="3060"/>
  </r>
  <r>
    <x v="757"/>
    <d v="2026-05-31T00:00:00"/>
    <s v="P005"/>
    <x v="2"/>
    <n v="6"/>
    <n v="300"/>
    <n v="0"/>
    <n v="20"/>
    <s v="Desk Lamp"/>
    <x v="2"/>
    <n v="20"/>
    <n v="1800"/>
    <n v="0"/>
    <n v="120"/>
    <n v="1660"/>
  </r>
  <r>
    <x v="758"/>
    <d v="2026-11-21T00:00:00"/>
    <s v="P005"/>
    <x v="0"/>
    <n v="23"/>
    <n v="300"/>
    <n v="0.1"/>
    <n v="10"/>
    <s v="Desk Lamp"/>
    <x v="2"/>
    <n v="20"/>
    <n v="6900"/>
    <n v="30"/>
    <n v="460"/>
    <n v="6430"/>
  </r>
  <r>
    <x v="759"/>
    <d v="2026-02-01T00:00:00"/>
    <s v="P005"/>
    <x v="1"/>
    <n v="25"/>
    <n v="300"/>
    <n v="0.35"/>
    <n v="20"/>
    <s v="Desk Lamp"/>
    <x v="2"/>
    <n v="20"/>
    <n v="7500"/>
    <n v="105"/>
    <n v="500"/>
    <n v="6980"/>
  </r>
  <r>
    <x v="760"/>
    <d v="2026-04-19T00:00:00"/>
    <s v="P005"/>
    <x v="0"/>
    <n v="5"/>
    <n v="300"/>
    <n v="0.1"/>
    <n v="20"/>
    <s v="Desk Lamp"/>
    <x v="2"/>
    <n v="20"/>
    <n v="1500"/>
    <n v="30"/>
    <n v="100"/>
    <n v="1380"/>
  </r>
  <r>
    <x v="761"/>
    <d v="2026-05-27T00:00:00"/>
    <s v="P005"/>
    <x v="3"/>
    <n v="21"/>
    <n v="300"/>
    <n v="0"/>
    <n v="20"/>
    <s v="Desk Lamp"/>
    <x v="2"/>
    <n v="20"/>
    <n v="6300"/>
    <n v="0"/>
    <n v="420"/>
    <n v="5860"/>
  </r>
  <r>
    <x v="762"/>
    <d v="2026-07-26T00:00:00"/>
    <s v="P005"/>
    <x v="0"/>
    <n v="21"/>
    <n v="300"/>
    <n v="0.1"/>
    <n v="5"/>
    <s v="Desk Lamp"/>
    <x v="2"/>
    <n v="20"/>
    <n v="6300"/>
    <n v="30"/>
    <n v="420"/>
    <n v="5875"/>
  </r>
  <r>
    <x v="763"/>
    <d v="2026-04-19T00:00:00"/>
    <s v="P005"/>
    <x v="2"/>
    <n v="22"/>
    <n v="300"/>
    <n v="0"/>
    <n v="15"/>
    <s v="Desk Lamp"/>
    <x v="2"/>
    <n v="20"/>
    <n v="6600"/>
    <n v="0"/>
    <n v="440"/>
    <n v="6145"/>
  </r>
  <r>
    <x v="764"/>
    <d v="2026-06-25T00:00:00"/>
    <s v="P005"/>
    <x v="1"/>
    <n v="2"/>
    <n v="300"/>
    <n v="0.1"/>
    <n v="15"/>
    <s v="Desk Lamp"/>
    <x v="2"/>
    <n v="20"/>
    <n v="600"/>
    <n v="30"/>
    <n v="40"/>
    <n v="545"/>
  </r>
  <r>
    <x v="765"/>
    <d v="2026-12-21T00:00:00"/>
    <s v="P005"/>
    <x v="2"/>
    <n v="5"/>
    <n v="300"/>
    <n v="0.2"/>
    <n v="20"/>
    <s v="Desk Lamp"/>
    <x v="2"/>
    <n v="20"/>
    <n v="1500"/>
    <n v="60"/>
    <n v="100"/>
    <n v="1380"/>
  </r>
  <r>
    <x v="766"/>
    <d v="2026-02-25T00:00:00"/>
    <s v="P005"/>
    <x v="1"/>
    <n v="3"/>
    <n v="300"/>
    <n v="0.1"/>
    <n v="20"/>
    <s v="Desk Lamp"/>
    <x v="2"/>
    <n v="20"/>
    <n v="900"/>
    <n v="30"/>
    <n v="60"/>
    <n v="820"/>
  </r>
  <r>
    <x v="767"/>
    <d v="2026-02-26T00:00:00"/>
    <s v="P005"/>
    <x v="0"/>
    <n v="13"/>
    <n v="300"/>
    <n v="0.1"/>
    <n v="20"/>
    <s v="Desk Lamp"/>
    <x v="2"/>
    <n v="20"/>
    <n v="3900"/>
    <n v="30"/>
    <n v="260"/>
    <n v="3620"/>
  </r>
  <r>
    <x v="768"/>
    <d v="2026-03-30T00:00:00"/>
    <s v="P005"/>
    <x v="0"/>
    <n v="5"/>
    <n v="300"/>
    <n v="0"/>
    <n v="15"/>
    <s v="Desk Lamp"/>
    <x v="2"/>
    <n v="20"/>
    <n v="1500"/>
    <n v="0"/>
    <n v="100"/>
    <n v="1385"/>
  </r>
  <r>
    <x v="769"/>
    <d v="2026-04-03T00:00:00"/>
    <s v="P005"/>
    <x v="1"/>
    <n v="2"/>
    <n v="300"/>
    <n v="0.2"/>
    <n v="15"/>
    <s v="Desk Lamp"/>
    <x v="2"/>
    <n v="20"/>
    <n v="600"/>
    <n v="60"/>
    <n v="40"/>
    <n v="545"/>
  </r>
  <r>
    <x v="770"/>
    <d v="2026-05-27T00:00:00"/>
    <s v="P005"/>
    <x v="1"/>
    <n v="12"/>
    <n v="300"/>
    <n v="0.2"/>
    <n v="5"/>
    <s v="Desk Lamp"/>
    <x v="2"/>
    <n v="20"/>
    <n v="3600"/>
    <n v="60"/>
    <n v="240"/>
    <n v="3355"/>
  </r>
  <r>
    <x v="771"/>
    <d v="2026-08-12T00:00:00"/>
    <s v="P005"/>
    <x v="2"/>
    <n v="11"/>
    <n v="300"/>
    <n v="0.1"/>
    <n v="5"/>
    <s v="Desk Lamp"/>
    <x v="2"/>
    <n v="20"/>
    <n v="3300"/>
    <n v="30"/>
    <n v="220"/>
    <n v="3075"/>
  </r>
  <r>
    <x v="772"/>
    <d v="2026-04-06T00:00:00"/>
    <s v="P005"/>
    <x v="3"/>
    <n v="21"/>
    <n v="300"/>
    <n v="0.35"/>
    <n v="10"/>
    <s v="Desk Lamp"/>
    <x v="2"/>
    <n v="20"/>
    <n v="6300"/>
    <n v="105"/>
    <n v="420"/>
    <n v="5870"/>
  </r>
  <r>
    <x v="773"/>
    <d v="2026-06-09T00:00:00"/>
    <s v="P005"/>
    <x v="2"/>
    <n v="5"/>
    <n v="300"/>
    <n v="0.1"/>
    <n v="10"/>
    <s v="Desk Lamp"/>
    <x v="2"/>
    <n v="20"/>
    <n v="1500"/>
    <n v="30"/>
    <n v="100"/>
    <n v="1390"/>
  </r>
  <r>
    <x v="774"/>
    <d v="2026-04-02T00:00:00"/>
    <s v="P005"/>
    <x v="0"/>
    <n v="23"/>
    <n v="300"/>
    <n v="0.1"/>
    <n v="15"/>
    <s v="Desk Lamp"/>
    <x v="2"/>
    <n v="20"/>
    <n v="6900"/>
    <n v="30"/>
    <n v="460"/>
    <n v="6425"/>
  </r>
  <r>
    <x v="775"/>
    <d v="2026-10-04T00:00:00"/>
    <s v="P005"/>
    <x v="2"/>
    <n v="7"/>
    <n v="300"/>
    <n v="0.35"/>
    <n v="20"/>
    <s v="Desk Lamp"/>
    <x v="2"/>
    <n v="20"/>
    <n v="2100"/>
    <n v="105"/>
    <n v="140"/>
    <n v="1940"/>
  </r>
  <r>
    <x v="776"/>
    <d v="2026-07-19T00:00:00"/>
    <s v="P005"/>
    <x v="0"/>
    <n v="22"/>
    <n v="300"/>
    <n v="0.2"/>
    <n v="10"/>
    <s v="Desk Lamp"/>
    <x v="2"/>
    <n v="20"/>
    <n v="6600"/>
    <n v="60"/>
    <n v="440"/>
    <n v="6150"/>
  </r>
  <r>
    <x v="777"/>
    <d v="2026-12-14T00:00:00"/>
    <s v="P005"/>
    <x v="3"/>
    <n v="23"/>
    <n v="300"/>
    <n v="0.2"/>
    <n v="20"/>
    <s v="Desk Lamp"/>
    <x v="2"/>
    <n v="20"/>
    <n v="6900"/>
    <n v="60"/>
    <n v="460"/>
    <n v="6420"/>
  </r>
  <r>
    <x v="778"/>
    <d v="2026-11-03T00:00:00"/>
    <s v="P005"/>
    <x v="2"/>
    <n v="12"/>
    <n v="300"/>
    <n v="0.2"/>
    <n v="10"/>
    <s v="Desk Lamp"/>
    <x v="2"/>
    <n v="20"/>
    <n v="3600"/>
    <n v="60"/>
    <n v="240"/>
    <n v="3350"/>
  </r>
  <r>
    <x v="779"/>
    <d v="2026-03-19T00:00:00"/>
    <s v="P005"/>
    <x v="3"/>
    <n v="15"/>
    <n v="300"/>
    <n v="0"/>
    <n v="15"/>
    <s v="Desk Lamp"/>
    <x v="2"/>
    <n v="20"/>
    <n v="4500"/>
    <n v="0"/>
    <n v="300"/>
    <n v="4185"/>
  </r>
  <r>
    <x v="780"/>
    <d v="2026-05-20T00:00:00"/>
    <s v="P005"/>
    <x v="3"/>
    <n v="17"/>
    <n v="300"/>
    <n v="0.35"/>
    <n v="5"/>
    <s v="Desk Lamp"/>
    <x v="2"/>
    <n v="20"/>
    <n v="5100"/>
    <n v="105"/>
    <n v="340"/>
    <n v="4755"/>
  </r>
  <r>
    <x v="781"/>
    <d v="2026-04-15T00:00:00"/>
    <s v="P005"/>
    <x v="3"/>
    <n v="20"/>
    <n v="300"/>
    <n v="0"/>
    <n v="20"/>
    <s v="Desk Lamp"/>
    <x v="2"/>
    <n v="20"/>
    <n v="6000"/>
    <n v="0"/>
    <n v="400"/>
    <n v="5580"/>
  </r>
  <r>
    <x v="782"/>
    <d v="2026-12-10T00:00:00"/>
    <s v="P005"/>
    <x v="2"/>
    <n v="11"/>
    <n v="300"/>
    <n v="0.1"/>
    <n v="15"/>
    <s v="Desk Lamp"/>
    <x v="2"/>
    <n v="20"/>
    <n v="3300"/>
    <n v="30"/>
    <n v="220"/>
    <n v="3065"/>
  </r>
  <r>
    <x v="783"/>
    <d v="2026-01-06T00:00:00"/>
    <s v="P005"/>
    <x v="0"/>
    <n v="3"/>
    <n v="300"/>
    <n v="0"/>
    <n v="10"/>
    <s v="Desk Lamp"/>
    <x v="2"/>
    <n v="20"/>
    <n v="900"/>
    <n v="0"/>
    <n v="60"/>
    <n v="830"/>
  </r>
  <r>
    <x v="784"/>
    <d v="2026-06-02T00:00:00"/>
    <s v="P005"/>
    <x v="0"/>
    <n v="12"/>
    <n v="300"/>
    <n v="0.1"/>
    <n v="20"/>
    <s v="Desk Lamp"/>
    <x v="2"/>
    <n v="20"/>
    <n v="3600"/>
    <n v="30"/>
    <n v="240"/>
    <n v="3340"/>
  </r>
  <r>
    <x v="785"/>
    <d v="2026-08-28T00:00:00"/>
    <s v="P005"/>
    <x v="2"/>
    <n v="22"/>
    <n v="300"/>
    <n v="0.1"/>
    <n v="5"/>
    <s v="Desk Lamp"/>
    <x v="2"/>
    <n v="20"/>
    <n v="6600"/>
    <n v="30"/>
    <n v="440"/>
    <n v="6155"/>
  </r>
  <r>
    <x v="786"/>
    <d v="2026-01-21T00:00:00"/>
    <s v="P005"/>
    <x v="3"/>
    <n v="23"/>
    <n v="300"/>
    <n v="0.35"/>
    <n v="20"/>
    <s v="Desk Lamp"/>
    <x v="2"/>
    <n v="20"/>
    <n v="6900"/>
    <n v="105"/>
    <n v="460"/>
    <n v="6420"/>
  </r>
  <r>
    <x v="787"/>
    <d v="2026-02-22T00:00:00"/>
    <s v="P005"/>
    <x v="0"/>
    <n v="12"/>
    <n v="300"/>
    <n v="0"/>
    <n v="20"/>
    <s v="Desk Lamp"/>
    <x v="2"/>
    <n v="20"/>
    <n v="3600"/>
    <n v="0"/>
    <n v="240"/>
    <n v="3340"/>
  </r>
  <r>
    <x v="788"/>
    <d v="2026-05-20T00:00:00"/>
    <s v="P005"/>
    <x v="2"/>
    <n v="7"/>
    <n v="300"/>
    <n v="0.2"/>
    <n v="10"/>
    <s v="Desk Lamp"/>
    <x v="2"/>
    <n v="20"/>
    <n v="2100"/>
    <n v="60"/>
    <n v="140"/>
    <n v="1950"/>
  </r>
  <r>
    <x v="789"/>
    <d v="2026-09-22T00:00:00"/>
    <s v="P005"/>
    <x v="1"/>
    <n v="6"/>
    <n v="300"/>
    <n v="0.1"/>
    <n v="5"/>
    <s v="Desk Lamp"/>
    <x v="2"/>
    <n v="20"/>
    <n v="1800"/>
    <n v="30"/>
    <n v="120"/>
    <n v="1675"/>
  </r>
  <r>
    <x v="790"/>
    <d v="2026-08-23T00:00:00"/>
    <s v="P005"/>
    <x v="1"/>
    <n v="21"/>
    <n v="300"/>
    <n v="0.2"/>
    <n v="5"/>
    <s v="Desk Lamp"/>
    <x v="2"/>
    <n v="20"/>
    <n v="6300"/>
    <n v="60"/>
    <n v="420"/>
    <n v="5875"/>
  </r>
  <r>
    <x v="791"/>
    <d v="2026-08-11T00:00:00"/>
    <s v="P005"/>
    <x v="1"/>
    <n v="19"/>
    <n v="300"/>
    <n v="0.2"/>
    <n v="20"/>
    <s v="Desk Lamp"/>
    <x v="2"/>
    <n v="20"/>
    <n v="5700"/>
    <n v="60"/>
    <n v="380"/>
    <n v="5300"/>
  </r>
  <r>
    <x v="792"/>
    <d v="2026-12-26T00:00:00"/>
    <s v="P005"/>
    <x v="0"/>
    <n v="5"/>
    <n v="300"/>
    <n v="0.2"/>
    <n v="20"/>
    <s v="Desk Lamp"/>
    <x v="2"/>
    <n v="20"/>
    <n v="1500"/>
    <n v="60"/>
    <n v="100"/>
    <n v="1380"/>
  </r>
  <r>
    <x v="793"/>
    <d v="2026-05-01T00:00:00"/>
    <s v="P005"/>
    <x v="1"/>
    <n v="15"/>
    <n v="300"/>
    <n v="0"/>
    <n v="20"/>
    <s v="Desk Lamp"/>
    <x v="2"/>
    <n v="20"/>
    <n v="4500"/>
    <n v="0"/>
    <n v="300"/>
    <n v="4180"/>
  </r>
  <r>
    <x v="794"/>
    <d v="2026-04-30T00:00:00"/>
    <s v="P005"/>
    <x v="2"/>
    <n v="12"/>
    <n v="300"/>
    <n v="0.35"/>
    <n v="10"/>
    <s v="Desk Lamp"/>
    <x v="2"/>
    <n v="20"/>
    <n v="3600"/>
    <n v="105"/>
    <n v="240"/>
    <n v="3350"/>
  </r>
  <r>
    <x v="795"/>
    <d v="2026-02-20T00:00:00"/>
    <s v="P005"/>
    <x v="1"/>
    <n v="4"/>
    <n v="300"/>
    <n v="0.35"/>
    <n v="20"/>
    <s v="Desk Lamp"/>
    <x v="2"/>
    <n v="20"/>
    <n v="1200"/>
    <n v="105"/>
    <n v="80"/>
    <n v="1100"/>
  </r>
  <r>
    <x v="796"/>
    <d v="2026-02-01T00:00:00"/>
    <s v="P005"/>
    <x v="1"/>
    <n v="6"/>
    <n v="300"/>
    <n v="0.2"/>
    <n v="20"/>
    <s v="Desk Lamp"/>
    <x v="2"/>
    <n v="20"/>
    <n v="1800"/>
    <n v="60"/>
    <n v="120"/>
    <n v="1660"/>
  </r>
  <r>
    <x v="797"/>
    <d v="2026-06-21T00:00:00"/>
    <s v="P005"/>
    <x v="0"/>
    <n v="14"/>
    <n v="300"/>
    <n v="0.1"/>
    <n v="10"/>
    <s v="Desk Lamp"/>
    <x v="2"/>
    <n v="20"/>
    <n v="4200"/>
    <n v="30"/>
    <n v="280"/>
    <n v="3910"/>
  </r>
  <r>
    <x v="798"/>
    <d v="2026-10-01T00:00:00"/>
    <s v="P005"/>
    <x v="1"/>
    <n v="15"/>
    <n v="300"/>
    <n v="0.35"/>
    <n v="20"/>
    <s v="Desk Lamp"/>
    <x v="2"/>
    <n v="20"/>
    <n v="4500"/>
    <n v="105"/>
    <n v="300"/>
    <n v="4180"/>
  </r>
  <r>
    <x v="799"/>
    <d v="2026-01-19T00:00:00"/>
    <s v="P005"/>
    <x v="3"/>
    <n v="12"/>
    <n v="300"/>
    <n v="0.1"/>
    <n v="15"/>
    <s v="Desk Lamp"/>
    <x v="2"/>
    <n v="20"/>
    <n v="3600"/>
    <n v="30"/>
    <n v="240"/>
    <n v="3345"/>
  </r>
  <r>
    <x v="800"/>
    <d v="2026-12-10T00:00:00"/>
    <s v="P005"/>
    <x v="1"/>
    <n v="19"/>
    <n v="300"/>
    <n v="0.35"/>
    <n v="10"/>
    <s v="Desk Lamp"/>
    <x v="2"/>
    <n v="20"/>
    <n v="5700"/>
    <n v="105"/>
    <n v="380"/>
    <n v="5310"/>
  </r>
  <r>
    <x v="801"/>
    <d v="2026-06-07T00:00:00"/>
    <s v="P005"/>
    <x v="1"/>
    <n v="12"/>
    <n v="300"/>
    <n v="0.1"/>
    <n v="20"/>
    <s v="Desk Lamp"/>
    <x v="2"/>
    <n v="20"/>
    <n v="3600"/>
    <n v="30"/>
    <n v="240"/>
    <n v="3340"/>
  </r>
  <r>
    <x v="802"/>
    <d v="2026-02-25T00:00:00"/>
    <s v="P005"/>
    <x v="0"/>
    <n v="16"/>
    <n v="300"/>
    <n v="0"/>
    <n v="15"/>
    <s v="Desk Lamp"/>
    <x v="2"/>
    <n v="20"/>
    <n v="4800"/>
    <n v="0"/>
    <n v="320"/>
    <n v="4465"/>
  </r>
  <r>
    <x v="803"/>
    <d v="2026-09-01T00:00:00"/>
    <s v="P005"/>
    <x v="0"/>
    <n v="19"/>
    <n v="300"/>
    <n v="0.2"/>
    <n v="10"/>
    <s v="Desk Lamp"/>
    <x v="2"/>
    <n v="20"/>
    <n v="5700"/>
    <n v="60"/>
    <n v="380"/>
    <n v="5310"/>
  </r>
  <r>
    <x v="804"/>
    <d v="2026-05-31T00:00:00"/>
    <s v="P004"/>
    <x v="1"/>
    <n v="20"/>
    <n v="50"/>
    <n v="0"/>
    <n v="10"/>
    <s v="USB-C Hub"/>
    <x v="0"/>
    <n v="15"/>
    <n v="1000"/>
    <n v="0"/>
    <n v="300"/>
    <n v="690"/>
  </r>
  <r>
    <x v="805"/>
    <d v="2026-03-28T00:00:00"/>
    <s v="P004"/>
    <x v="1"/>
    <n v="4"/>
    <n v="50"/>
    <n v="0.35"/>
    <n v="5"/>
    <s v="USB-C Hub"/>
    <x v="0"/>
    <n v="15"/>
    <n v="200"/>
    <n v="17.5"/>
    <n v="60"/>
    <n v="135"/>
  </r>
  <r>
    <x v="806"/>
    <d v="2026-01-23T00:00:00"/>
    <s v="P004"/>
    <x v="0"/>
    <n v="18"/>
    <n v="50"/>
    <n v="0.35"/>
    <n v="10"/>
    <s v="USB-C Hub"/>
    <x v="0"/>
    <n v="15"/>
    <n v="900"/>
    <n v="17.5"/>
    <n v="270"/>
    <n v="620"/>
  </r>
  <r>
    <x v="807"/>
    <d v="2026-02-09T00:00:00"/>
    <s v="P004"/>
    <x v="0"/>
    <n v="23"/>
    <n v="50"/>
    <n v="0.35"/>
    <n v="10"/>
    <s v="USB-C Hub"/>
    <x v="0"/>
    <n v="15"/>
    <n v="1150"/>
    <n v="17.5"/>
    <n v="345"/>
    <n v="795"/>
  </r>
  <r>
    <x v="808"/>
    <d v="2026-04-22T00:00:00"/>
    <s v="P004"/>
    <x v="2"/>
    <n v="7"/>
    <n v="50"/>
    <n v="0"/>
    <n v="5"/>
    <s v="USB-C Hub"/>
    <x v="0"/>
    <n v="15"/>
    <n v="350"/>
    <n v="0"/>
    <n v="105"/>
    <n v="240"/>
  </r>
  <r>
    <x v="809"/>
    <d v="2026-12-08T00:00:00"/>
    <s v="P004"/>
    <x v="0"/>
    <n v="22"/>
    <n v="50"/>
    <n v="0.1"/>
    <n v="20"/>
    <s v="USB-C Hub"/>
    <x v="0"/>
    <n v="15"/>
    <n v="1100"/>
    <n v="5"/>
    <n v="330"/>
    <n v="750"/>
  </r>
  <r>
    <x v="810"/>
    <d v="2026-08-20T00:00:00"/>
    <s v="P004"/>
    <x v="1"/>
    <n v="18"/>
    <n v="50"/>
    <n v="0.2"/>
    <n v="10"/>
    <s v="USB-C Hub"/>
    <x v="0"/>
    <n v="15"/>
    <n v="900"/>
    <n v="10"/>
    <n v="270"/>
    <n v="620"/>
  </r>
  <r>
    <x v="811"/>
    <d v="2026-09-22T00:00:00"/>
    <s v="P004"/>
    <x v="3"/>
    <n v="16"/>
    <n v="50"/>
    <n v="0.1"/>
    <n v="10"/>
    <s v="USB-C Hub"/>
    <x v="0"/>
    <n v="15"/>
    <n v="800"/>
    <n v="5"/>
    <n v="240"/>
    <n v="550"/>
  </r>
  <r>
    <x v="812"/>
    <d v="2026-12-18T00:00:00"/>
    <s v="P004"/>
    <x v="1"/>
    <n v="3"/>
    <n v="50"/>
    <n v="0.1"/>
    <n v="20"/>
    <s v="USB-C Hub"/>
    <x v="0"/>
    <n v="15"/>
    <n v="150"/>
    <n v="5"/>
    <n v="45"/>
    <n v="85"/>
  </r>
  <r>
    <x v="813"/>
    <d v="2026-12-08T00:00:00"/>
    <s v="P004"/>
    <x v="1"/>
    <n v="24"/>
    <n v="50"/>
    <n v="0.1"/>
    <n v="10"/>
    <s v="USB-C Hub"/>
    <x v="0"/>
    <n v="15"/>
    <n v="1200"/>
    <n v="5"/>
    <n v="360"/>
    <n v="830"/>
  </r>
  <r>
    <x v="814"/>
    <d v="2026-06-21T00:00:00"/>
    <s v="P004"/>
    <x v="0"/>
    <n v="12"/>
    <n v="50"/>
    <n v="0"/>
    <n v="10"/>
    <s v="USB-C Hub"/>
    <x v="0"/>
    <n v="15"/>
    <n v="600"/>
    <n v="0"/>
    <n v="180"/>
    <n v="410"/>
  </r>
  <r>
    <x v="815"/>
    <d v="2026-08-24T00:00:00"/>
    <s v="P004"/>
    <x v="3"/>
    <n v="4"/>
    <n v="50"/>
    <n v="0.35"/>
    <n v="10"/>
    <s v="USB-C Hub"/>
    <x v="0"/>
    <n v="15"/>
    <n v="200"/>
    <n v="17.5"/>
    <n v="60"/>
    <n v="130"/>
  </r>
  <r>
    <x v="816"/>
    <d v="2026-01-25T00:00:00"/>
    <s v="P004"/>
    <x v="3"/>
    <n v="20"/>
    <n v="50"/>
    <n v="0.1"/>
    <n v="5"/>
    <s v="USB-C Hub"/>
    <x v="0"/>
    <n v="15"/>
    <n v="1000"/>
    <n v="5"/>
    <n v="300"/>
    <n v="695"/>
  </r>
  <r>
    <x v="817"/>
    <d v="2026-09-19T00:00:00"/>
    <s v="P004"/>
    <x v="1"/>
    <n v="8"/>
    <n v="50"/>
    <n v="0.1"/>
    <n v="15"/>
    <s v="USB-C Hub"/>
    <x v="0"/>
    <n v="15"/>
    <n v="400"/>
    <n v="5"/>
    <n v="120"/>
    <n v="265"/>
  </r>
  <r>
    <x v="818"/>
    <d v="2026-04-01T00:00:00"/>
    <s v="P004"/>
    <x v="0"/>
    <n v="12"/>
    <n v="50"/>
    <n v="0.2"/>
    <n v="5"/>
    <s v="USB-C Hub"/>
    <x v="0"/>
    <n v="15"/>
    <n v="600"/>
    <n v="10"/>
    <n v="180"/>
    <n v="415"/>
  </r>
  <r>
    <x v="819"/>
    <d v="2026-02-01T00:00:00"/>
    <s v="P004"/>
    <x v="3"/>
    <n v="25"/>
    <n v="50"/>
    <n v="0"/>
    <n v="15"/>
    <s v="USB-C Hub"/>
    <x v="0"/>
    <n v="15"/>
    <n v="1250"/>
    <n v="0"/>
    <n v="375"/>
    <n v="860"/>
  </r>
  <r>
    <x v="820"/>
    <d v="2026-05-17T00:00:00"/>
    <s v="P004"/>
    <x v="0"/>
    <n v="2"/>
    <n v="50"/>
    <n v="0.35"/>
    <n v="5"/>
    <s v="USB-C Hub"/>
    <x v="0"/>
    <n v="15"/>
    <n v="100"/>
    <n v="17.5"/>
    <n v="30"/>
    <n v="65"/>
  </r>
  <r>
    <x v="821"/>
    <d v="2026-06-30T00:00:00"/>
    <s v="P004"/>
    <x v="2"/>
    <n v="12"/>
    <n v="50"/>
    <n v="0"/>
    <n v="15"/>
    <s v="USB-C Hub"/>
    <x v="0"/>
    <n v="15"/>
    <n v="600"/>
    <n v="0"/>
    <n v="180"/>
    <n v="405"/>
  </r>
  <r>
    <x v="822"/>
    <d v="2026-03-13T00:00:00"/>
    <s v="P004"/>
    <x v="1"/>
    <n v="8"/>
    <n v="50"/>
    <n v="0.2"/>
    <n v="15"/>
    <s v="USB-C Hub"/>
    <x v="0"/>
    <n v="15"/>
    <n v="400"/>
    <n v="10"/>
    <n v="120"/>
    <n v="265"/>
  </r>
  <r>
    <x v="823"/>
    <d v="2026-03-17T00:00:00"/>
    <s v="P004"/>
    <x v="3"/>
    <n v="3"/>
    <n v="50"/>
    <n v="0.35"/>
    <n v="10"/>
    <s v="USB-C Hub"/>
    <x v="0"/>
    <n v="15"/>
    <n v="150"/>
    <n v="17.5"/>
    <n v="45"/>
    <n v="95"/>
  </r>
  <r>
    <x v="824"/>
    <d v="2026-07-04T00:00:00"/>
    <s v="P004"/>
    <x v="1"/>
    <n v="15"/>
    <n v="50"/>
    <n v="0"/>
    <n v="5"/>
    <s v="USB-C Hub"/>
    <x v="0"/>
    <n v="15"/>
    <n v="750"/>
    <n v="0"/>
    <n v="225"/>
    <n v="520"/>
  </r>
  <r>
    <x v="825"/>
    <d v="2026-09-30T00:00:00"/>
    <s v="P004"/>
    <x v="1"/>
    <n v="24"/>
    <n v="50"/>
    <n v="0.1"/>
    <n v="5"/>
    <s v="USB-C Hub"/>
    <x v="0"/>
    <n v="15"/>
    <n v="1200"/>
    <n v="5"/>
    <n v="360"/>
    <n v="835"/>
  </r>
  <r>
    <x v="826"/>
    <d v="2026-02-07T00:00:00"/>
    <s v="P004"/>
    <x v="3"/>
    <n v="21"/>
    <n v="50"/>
    <n v="0.2"/>
    <n v="20"/>
    <s v="USB-C Hub"/>
    <x v="0"/>
    <n v="15"/>
    <n v="1050"/>
    <n v="10"/>
    <n v="315"/>
    <n v="715"/>
  </r>
  <r>
    <x v="827"/>
    <d v="2026-02-08T00:00:00"/>
    <s v="P004"/>
    <x v="3"/>
    <n v="18"/>
    <n v="50"/>
    <n v="0.1"/>
    <n v="15"/>
    <s v="USB-C Hub"/>
    <x v="0"/>
    <n v="15"/>
    <n v="900"/>
    <n v="5"/>
    <n v="270"/>
    <n v="615"/>
  </r>
  <r>
    <x v="828"/>
    <d v="2026-02-27T00:00:00"/>
    <s v="P004"/>
    <x v="3"/>
    <n v="3"/>
    <n v="50"/>
    <n v="0"/>
    <n v="20"/>
    <s v="USB-C Hub"/>
    <x v="0"/>
    <n v="15"/>
    <n v="150"/>
    <n v="0"/>
    <n v="45"/>
    <n v="85"/>
  </r>
  <r>
    <x v="829"/>
    <d v="2026-11-21T00:00:00"/>
    <s v="P004"/>
    <x v="3"/>
    <n v="5"/>
    <n v="50"/>
    <n v="0.1"/>
    <n v="10"/>
    <s v="USB-C Hub"/>
    <x v="0"/>
    <n v="15"/>
    <n v="250"/>
    <n v="5"/>
    <n v="75"/>
    <n v="165"/>
  </r>
  <r>
    <x v="830"/>
    <d v="2026-08-06T00:00:00"/>
    <s v="P004"/>
    <x v="0"/>
    <n v="21"/>
    <n v="50"/>
    <n v="0.2"/>
    <n v="10"/>
    <s v="USB-C Hub"/>
    <x v="0"/>
    <n v="15"/>
    <n v="1050"/>
    <n v="10"/>
    <n v="315"/>
    <n v="725"/>
  </r>
  <r>
    <x v="831"/>
    <d v="2026-02-18T00:00:00"/>
    <s v="P004"/>
    <x v="3"/>
    <n v="18"/>
    <n v="50"/>
    <n v="0.1"/>
    <n v="15"/>
    <s v="USB-C Hub"/>
    <x v="0"/>
    <n v="15"/>
    <n v="900"/>
    <n v="5"/>
    <n v="270"/>
    <n v="615"/>
  </r>
  <r>
    <x v="832"/>
    <d v="2026-05-24T00:00:00"/>
    <s v="P004"/>
    <x v="3"/>
    <n v="25"/>
    <n v="50"/>
    <n v="0.1"/>
    <n v="10"/>
    <s v="USB-C Hub"/>
    <x v="0"/>
    <n v="15"/>
    <n v="1250"/>
    <n v="5"/>
    <n v="375"/>
    <n v="865"/>
  </r>
  <r>
    <x v="833"/>
    <d v="2026-10-15T00:00:00"/>
    <s v="P004"/>
    <x v="0"/>
    <n v="3"/>
    <n v="50"/>
    <n v="0.1"/>
    <n v="5"/>
    <s v="USB-C Hub"/>
    <x v="0"/>
    <n v="15"/>
    <n v="150"/>
    <n v="5"/>
    <n v="45"/>
    <n v="100"/>
  </r>
  <r>
    <x v="834"/>
    <d v="2026-10-23T00:00:00"/>
    <s v="P004"/>
    <x v="3"/>
    <n v="12"/>
    <n v="50"/>
    <n v="0.1"/>
    <n v="20"/>
    <s v="USB-C Hub"/>
    <x v="0"/>
    <n v="15"/>
    <n v="600"/>
    <n v="5"/>
    <n v="180"/>
    <n v="400"/>
  </r>
  <r>
    <x v="835"/>
    <d v="2026-11-22T00:00:00"/>
    <s v="P004"/>
    <x v="3"/>
    <n v="21"/>
    <n v="50"/>
    <n v="0.2"/>
    <n v="5"/>
    <s v="USB-C Hub"/>
    <x v="0"/>
    <n v="15"/>
    <n v="1050"/>
    <n v="10"/>
    <n v="315"/>
    <n v="730"/>
  </r>
  <r>
    <x v="836"/>
    <d v="2026-09-12T00:00:00"/>
    <s v="P004"/>
    <x v="0"/>
    <n v="2"/>
    <n v="50"/>
    <n v="0.1"/>
    <n v="20"/>
    <s v="USB-C Hub"/>
    <x v="0"/>
    <n v="15"/>
    <n v="100"/>
    <n v="5"/>
    <n v="30"/>
    <n v="50"/>
  </r>
  <r>
    <x v="837"/>
    <d v="2026-07-27T00:00:00"/>
    <s v="P004"/>
    <x v="2"/>
    <n v="21"/>
    <n v="50"/>
    <n v="0.1"/>
    <n v="15"/>
    <s v="USB-C Hub"/>
    <x v="0"/>
    <n v="15"/>
    <n v="1050"/>
    <n v="5"/>
    <n v="315"/>
    <n v="720"/>
  </r>
  <r>
    <x v="838"/>
    <d v="2026-12-27T00:00:00"/>
    <s v="P004"/>
    <x v="1"/>
    <n v="8"/>
    <n v="50"/>
    <n v="0.35"/>
    <n v="5"/>
    <s v="USB-C Hub"/>
    <x v="0"/>
    <n v="15"/>
    <n v="400"/>
    <n v="17.5"/>
    <n v="120"/>
    <n v="275"/>
  </r>
  <r>
    <x v="839"/>
    <d v="2026-03-20T00:00:00"/>
    <s v="P004"/>
    <x v="0"/>
    <n v="1"/>
    <n v="50"/>
    <n v="0.1"/>
    <n v="10"/>
    <s v="USB-C Hub"/>
    <x v="0"/>
    <n v="15"/>
    <n v="50"/>
    <n v="5"/>
    <n v="15"/>
    <n v="25"/>
  </r>
  <r>
    <x v="840"/>
    <d v="2026-05-08T00:00:00"/>
    <s v="P004"/>
    <x v="2"/>
    <n v="25"/>
    <n v="50"/>
    <n v="0"/>
    <n v="5"/>
    <s v="USB-C Hub"/>
    <x v="0"/>
    <n v="15"/>
    <n v="1250"/>
    <n v="0"/>
    <n v="375"/>
    <n v="870"/>
  </r>
  <r>
    <x v="841"/>
    <d v="2026-10-09T00:00:00"/>
    <s v="P004"/>
    <x v="0"/>
    <n v="4"/>
    <n v="50"/>
    <n v="0.35"/>
    <n v="20"/>
    <s v="USB-C Hub"/>
    <x v="0"/>
    <n v="15"/>
    <n v="200"/>
    <n v="17.5"/>
    <n v="60"/>
    <n v="120"/>
  </r>
  <r>
    <x v="842"/>
    <d v="2026-07-26T00:00:00"/>
    <s v="P004"/>
    <x v="0"/>
    <n v="16"/>
    <n v="50"/>
    <n v="0.35"/>
    <n v="20"/>
    <s v="USB-C Hub"/>
    <x v="0"/>
    <n v="15"/>
    <n v="800"/>
    <n v="17.5"/>
    <n v="240"/>
    <n v="540"/>
  </r>
  <r>
    <x v="843"/>
    <d v="2026-12-13T00:00:00"/>
    <s v="P004"/>
    <x v="0"/>
    <n v="13"/>
    <n v="50"/>
    <n v="0.2"/>
    <n v="5"/>
    <s v="USB-C Hub"/>
    <x v="0"/>
    <n v="15"/>
    <n v="650"/>
    <n v="10"/>
    <n v="195"/>
    <n v="450"/>
  </r>
  <r>
    <x v="844"/>
    <d v="2026-03-23T00:00:00"/>
    <s v="P004"/>
    <x v="3"/>
    <n v="13"/>
    <n v="50"/>
    <n v="0.1"/>
    <n v="20"/>
    <s v="USB-C Hub"/>
    <x v="0"/>
    <n v="15"/>
    <n v="650"/>
    <n v="5"/>
    <n v="195"/>
    <n v="435"/>
  </r>
  <r>
    <x v="845"/>
    <d v="2026-03-13T00:00:00"/>
    <s v="P004"/>
    <x v="3"/>
    <n v="20"/>
    <n v="50"/>
    <n v="0.35"/>
    <n v="20"/>
    <s v="USB-C Hub"/>
    <x v="0"/>
    <n v="15"/>
    <n v="1000"/>
    <n v="17.5"/>
    <n v="300"/>
    <n v="680"/>
  </r>
  <r>
    <x v="846"/>
    <d v="2026-10-13T00:00:00"/>
    <s v="P004"/>
    <x v="0"/>
    <n v="20"/>
    <n v="50"/>
    <n v="0.35"/>
    <n v="20"/>
    <s v="USB-C Hub"/>
    <x v="0"/>
    <n v="15"/>
    <n v="1000"/>
    <n v="17.5"/>
    <n v="300"/>
    <n v="680"/>
  </r>
  <r>
    <x v="847"/>
    <d v="2026-07-12T00:00:00"/>
    <s v="P004"/>
    <x v="1"/>
    <n v="1"/>
    <n v="50"/>
    <n v="0.35"/>
    <n v="20"/>
    <s v="USB-C Hub"/>
    <x v="0"/>
    <n v="15"/>
    <n v="50"/>
    <n v="17.5"/>
    <n v="15"/>
    <n v="15"/>
  </r>
  <r>
    <x v="848"/>
    <d v="2026-02-06T00:00:00"/>
    <s v="P004"/>
    <x v="3"/>
    <n v="16"/>
    <n v="50"/>
    <n v="0"/>
    <n v="5"/>
    <s v="USB-C Hub"/>
    <x v="0"/>
    <n v="15"/>
    <n v="800"/>
    <n v="0"/>
    <n v="240"/>
    <n v="555"/>
  </r>
  <r>
    <x v="849"/>
    <d v="2026-10-06T00:00:00"/>
    <s v="P004"/>
    <x v="1"/>
    <n v="5"/>
    <n v="50"/>
    <n v="0.1"/>
    <n v="20"/>
    <s v="USB-C Hub"/>
    <x v="0"/>
    <n v="15"/>
    <n v="250"/>
    <n v="5"/>
    <n v="75"/>
    <n v="155"/>
  </r>
  <r>
    <x v="850"/>
    <d v="2026-02-07T00:00:00"/>
    <s v="P004"/>
    <x v="3"/>
    <n v="18"/>
    <n v="50"/>
    <n v="0.2"/>
    <n v="15"/>
    <s v="USB-C Hub"/>
    <x v="0"/>
    <n v="15"/>
    <n v="900"/>
    <n v="10"/>
    <n v="270"/>
    <n v="615"/>
  </r>
  <r>
    <x v="851"/>
    <d v="2026-08-15T00:00:00"/>
    <s v="P004"/>
    <x v="0"/>
    <n v="17"/>
    <n v="50"/>
    <n v="0.35"/>
    <n v="15"/>
    <s v="USB-C Hub"/>
    <x v="0"/>
    <n v="15"/>
    <n v="850"/>
    <n v="17.5"/>
    <n v="255"/>
    <n v="580"/>
  </r>
  <r>
    <x v="852"/>
    <d v="2026-02-18T00:00:00"/>
    <s v="P004"/>
    <x v="2"/>
    <n v="1"/>
    <n v="50"/>
    <n v="0.1"/>
    <n v="10"/>
    <s v="USB-C Hub"/>
    <x v="0"/>
    <n v="15"/>
    <n v="50"/>
    <n v="5"/>
    <n v="15"/>
    <n v="25"/>
  </r>
  <r>
    <x v="853"/>
    <d v="2026-03-22T00:00:00"/>
    <s v="P004"/>
    <x v="2"/>
    <n v="4"/>
    <n v="50"/>
    <n v="0.2"/>
    <n v="15"/>
    <s v="USB-C Hub"/>
    <x v="0"/>
    <n v="15"/>
    <n v="200"/>
    <n v="10"/>
    <n v="60"/>
    <n v="125"/>
  </r>
  <r>
    <x v="854"/>
    <d v="2026-10-31T00:00:00"/>
    <s v="P004"/>
    <x v="1"/>
    <n v="20"/>
    <n v="50"/>
    <n v="0.35"/>
    <n v="10"/>
    <s v="USB-C Hub"/>
    <x v="0"/>
    <n v="15"/>
    <n v="1000"/>
    <n v="17.5"/>
    <n v="300"/>
    <n v="690"/>
  </r>
  <r>
    <x v="855"/>
    <d v="2026-12-09T00:00:00"/>
    <s v="P004"/>
    <x v="2"/>
    <n v="14"/>
    <n v="50"/>
    <n v="0"/>
    <n v="15"/>
    <s v="USB-C Hub"/>
    <x v="0"/>
    <n v="15"/>
    <n v="700"/>
    <n v="0"/>
    <n v="210"/>
    <n v="475"/>
  </r>
  <r>
    <x v="856"/>
    <d v="2026-06-11T00:00:00"/>
    <s v="P004"/>
    <x v="3"/>
    <n v="22"/>
    <n v="50"/>
    <n v="0.35"/>
    <n v="20"/>
    <s v="USB-C Hub"/>
    <x v="0"/>
    <n v="15"/>
    <n v="1100"/>
    <n v="17.5"/>
    <n v="330"/>
    <n v="750"/>
  </r>
  <r>
    <x v="857"/>
    <d v="2026-02-03T00:00:00"/>
    <s v="P004"/>
    <x v="1"/>
    <n v="14"/>
    <n v="50"/>
    <n v="0.2"/>
    <n v="15"/>
    <s v="USB-C Hub"/>
    <x v="0"/>
    <n v="15"/>
    <n v="700"/>
    <n v="10"/>
    <n v="210"/>
    <n v="475"/>
  </r>
  <r>
    <x v="858"/>
    <d v="2026-01-03T00:00:00"/>
    <s v="P004"/>
    <x v="1"/>
    <n v="12"/>
    <n v="50"/>
    <n v="0"/>
    <n v="5"/>
    <s v="USB-C Hub"/>
    <x v="0"/>
    <n v="15"/>
    <n v="600"/>
    <n v="0"/>
    <n v="180"/>
    <n v="415"/>
  </r>
  <r>
    <x v="859"/>
    <d v="2026-06-02T00:00:00"/>
    <s v="P004"/>
    <x v="1"/>
    <n v="23"/>
    <n v="50"/>
    <n v="0.35"/>
    <n v="20"/>
    <s v="USB-C Hub"/>
    <x v="0"/>
    <n v="15"/>
    <n v="1150"/>
    <n v="17.5"/>
    <n v="345"/>
    <n v="785"/>
  </r>
  <r>
    <x v="860"/>
    <d v="2026-06-27T00:00:00"/>
    <s v="P004"/>
    <x v="2"/>
    <n v="11"/>
    <n v="50"/>
    <n v="0"/>
    <n v="5"/>
    <s v="USB-C Hub"/>
    <x v="0"/>
    <n v="15"/>
    <n v="550"/>
    <n v="0"/>
    <n v="165"/>
    <n v="380"/>
  </r>
  <r>
    <x v="861"/>
    <d v="2026-06-23T00:00:00"/>
    <s v="P004"/>
    <x v="2"/>
    <n v="19"/>
    <n v="50"/>
    <n v="0.35"/>
    <n v="15"/>
    <s v="USB-C Hub"/>
    <x v="0"/>
    <n v="15"/>
    <n v="950"/>
    <n v="17.5"/>
    <n v="285"/>
    <n v="650"/>
  </r>
  <r>
    <x v="862"/>
    <d v="2026-09-04T00:00:00"/>
    <s v="P004"/>
    <x v="1"/>
    <n v="2"/>
    <n v="50"/>
    <n v="0"/>
    <n v="5"/>
    <s v="USB-C Hub"/>
    <x v="0"/>
    <n v="15"/>
    <n v="100"/>
    <n v="0"/>
    <n v="30"/>
    <n v="65"/>
  </r>
  <r>
    <x v="863"/>
    <d v="2026-05-21T00:00:00"/>
    <s v="P004"/>
    <x v="1"/>
    <n v="14"/>
    <n v="50"/>
    <n v="0.35"/>
    <n v="5"/>
    <s v="USB-C Hub"/>
    <x v="0"/>
    <n v="15"/>
    <n v="700"/>
    <n v="17.5"/>
    <n v="210"/>
    <n v="485"/>
  </r>
  <r>
    <x v="864"/>
    <d v="2026-03-01T00:00:00"/>
    <s v="P004"/>
    <x v="3"/>
    <n v="7"/>
    <n v="50"/>
    <n v="0"/>
    <n v="15"/>
    <s v="USB-C Hub"/>
    <x v="0"/>
    <n v="15"/>
    <n v="350"/>
    <n v="0"/>
    <n v="105"/>
    <n v="230"/>
  </r>
  <r>
    <x v="865"/>
    <d v="2026-03-16T00:00:00"/>
    <s v="P004"/>
    <x v="3"/>
    <n v="2"/>
    <n v="50"/>
    <n v="0.1"/>
    <n v="20"/>
    <s v="USB-C Hub"/>
    <x v="0"/>
    <n v="15"/>
    <n v="100"/>
    <n v="5"/>
    <n v="30"/>
    <n v="50"/>
  </r>
  <r>
    <x v="866"/>
    <d v="2026-02-22T00:00:00"/>
    <s v="P004"/>
    <x v="1"/>
    <n v="3"/>
    <n v="50"/>
    <n v="0.1"/>
    <n v="15"/>
    <s v="USB-C Hub"/>
    <x v="0"/>
    <n v="15"/>
    <n v="150"/>
    <n v="5"/>
    <n v="45"/>
    <n v="90"/>
  </r>
  <r>
    <x v="867"/>
    <d v="2026-04-03T00:00:00"/>
    <s v="P004"/>
    <x v="1"/>
    <n v="22"/>
    <n v="50"/>
    <n v="0.2"/>
    <n v="20"/>
    <s v="USB-C Hub"/>
    <x v="0"/>
    <n v="15"/>
    <n v="1100"/>
    <n v="10"/>
    <n v="330"/>
    <n v="750"/>
  </r>
  <r>
    <x v="868"/>
    <d v="2026-08-13T00:00:00"/>
    <s v="P004"/>
    <x v="1"/>
    <n v="20"/>
    <n v="50"/>
    <n v="0"/>
    <n v="10"/>
    <s v="USB-C Hub"/>
    <x v="0"/>
    <n v="15"/>
    <n v="1000"/>
    <n v="0"/>
    <n v="300"/>
    <n v="690"/>
  </r>
  <r>
    <x v="869"/>
    <d v="2026-03-17T00:00:00"/>
    <s v="P004"/>
    <x v="0"/>
    <n v="7"/>
    <n v="50"/>
    <n v="0.2"/>
    <n v="15"/>
    <s v="USB-C Hub"/>
    <x v="0"/>
    <n v="15"/>
    <n v="350"/>
    <n v="10"/>
    <n v="105"/>
    <n v="230"/>
  </r>
  <r>
    <x v="870"/>
    <d v="2026-08-09T00:00:00"/>
    <s v="P004"/>
    <x v="1"/>
    <n v="17"/>
    <n v="50"/>
    <n v="0.2"/>
    <n v="15"/>
    <s v="USB-C Hub"/>
    <x v="0"/>
    <n v="15"/>
    <n v="850"/>
    <n v="10"/>
    <n v="255"/>
    <n v="580"/>
  </r>
  <r>
    <x v="871"/>
    <d v="2026-01-07T00:00:00"/>
    <s v="P004"/>
    <x v="0"/>
    <n v="11"/>
    <n v="50"/>
    <n v="0.35"/>
    <n v="15"/>
    <s v="USB-C Hub"/>
    <x v="0"/>
    <n v="15"/>
    <n v="550"/>
    <n v="17.5"/>
    <n v="165"/>
    <n v="370"/>
  </r>
  <r>
    <x v="872"/>
    <d v="2026-12-15T00:00:00"/>
    <s v="P004"/>
    <x v="1"/>
    <n v="24"/>
    <n v="50"/>
    <n v="0.1"/>
    <n v="5"/>
    <s v="USB-C Hub"/>
    <x v="0"/>
    <n v="15"/>
    <n v="1200"/>
    <n v="5"/>
    <n v="360"/>
    <n v="835"/>
  </r>
  <r>
    <x v="873"/>
    <d v="2026-12-01T00:00:00"/>
    <s v="P004"/>
    <x v="2"/>
    <n v="17"/>
    <n v="50"/>
    <n v="0.1"/>
    <n v="5"/>
    <s v="USB-C Hub"/>
    <x v="0"/>
    <n v="15"/>
    <n v="850"/>
    <n v="5"/>
    <n v="255"/>
    <n v="590"/>
  </r>
  <r>
    <x v="874"/>
    <d v="2026-03-23T00:00:00"/>
    <s v="P004"/>
    <x v="2"/>
    <n v="15"/>
    <n v="50"/>
    <n v="0.1"/>
    <n v="5"/>
    <s v="USB-C Hub"/>
    <x v="0"/>
    <n v="15"/>
    <n v="750"/>
    <n v="5"/>
    <n v="225"/>
    <n v="520"/>
  </r>
  <r>
    <x v="875"/>
    <d v="2026-05-21T00:00:00"/>
    <s v="P004"/>
    <x v="0"/>
    <n v="23"/>
    <n v="50"/>
    <n v="0.1"/>
    <n v="5"/>
    <s v="USB-C Hub"/>
    <x v="0"/>
    <n v="15"/>
    <n v="1150"/>
    <n v="5"/>
    <n v="345"/>
    <n v="800"/>
  </r>
  <r>
    <x v="876"/>
    <d v="2026-12-11T00:00:00"/>
    <s v="P004"/>
    <x v="0"/>
    <n v="4"/>
    <n v="50"/>
    <n v="0.1"/>
    <n v="15"/>
    <s v="USB-C Hub"/>
    <x v="0"/>
    <n v="15"/>
    <n v="200"/>
    <n v="5"/>
    <n v="60"/>
    <n v="125"/>
  </r>
  <r>
    <x v="877"/>
    <d v="2026-10-15T00:00:00"/>
    <s v="P004"/>
    <x v="0"/>
    <n v="17"/>
    <n v="50"/>
    <n v="0"/>
    <n v="5"/>
    <s v="USB-C Hub"/>
    <x v="0"/>
    <n v="15"/>
    <n v="850"/>
    <n v="0"/>
    <n v="255"/>
    <n v="590"/>
  </r>
  <r>
    <x v="878"/>
    <d v="2026-12-18T00:00:00"/>
    <s v="P004"/>
    <x v="0"/>
    <n v="4"/>
    <n v="50"/>
    <n v="0"/>
    <n v="20"/>
    <s v="USB-C Hub"/>
    <x v="0"/>
    <n v="15"/>
    <n v="200"/>
    <n v="0"/>
    <n v="60"/>
    <n v="120"/>
  </r>
  <r>
    <x v="879"/>
    <d v="2026-10-07T00:00:00"/>
    <s v="P004"/>
    <x v="1"/>
    <n v="7"/>
    <n v="50"/>
    <n v="0"/>
    <n v="20"/>
    <s v="USB-C Hub"/>
    <x v="0"/>
    <n v="15"/>
    <n v="350"/>
    <n v="0"/>
    <n v="105"/>
    <n v="225"/>
  </r>
  <r>
    <x v="880"/>
    <d v="2026-04-26T00:00:00"/>
    <s v="P004"/>
    <x v="1"/>
    <n v="7"/>
    <n v="50"/>
    <n v="0.1"/>
    <n v="20"/>
    <s v="USB-C Hub"/>
    <x v="0"/>
    <n v="15"/>
    <n v="350"/>
    <n v="5"/>
    <n v="105"/>
    <n v="225"/>
  </r>
  <r>
    <x v="881"/>
    <d v="2026-06-29T00:00:00"/>
    <s v="P004"/>
    <x v="2"/>
    <n v="14"/>
    <n v="50"/>
    <n v="0"/>
    <n v="10"/>
    <s v="USB-C Hub"/>
    <x v="0"/>
    <n v="15"/>
    <n v="700"/>
    <n v="0"/>
    <n v="210"/>
    <n v="480"/>
  </r>
  <r>
    <x v="882"/>
    <d v="2026-12-12T00:00:00"/>
    <s v="P004"/>
    <x v="0"/>
    <n v="3"/>
    <n v="50"/>
    <n v="0.1"/>
    <n v="20"/>
    <s v="USB-C Hub"/>
    <x v="0"/>
    <n v="15"/>
    <n v="150"/>
    <n v="5"/>
    <n v="45"/>
    <n v="85"/>
  </r>
  <r>
    <x v="883"/>
    <d v="2026-11-29T00:00:00"/>
    <s v="P004"/>
    <x v="2"/>
    <n v="10"/>
    <n v="50"/>
    <n v="0.2"/>
    <n v="20"/>
    <s v="USB-C Hub"/>
    <x v="0"/>
    <n v="15"/>
    <n v="500"/>
    <n v="10"/>
    <n v="150"/>
    <n v="330"/>
  </r>
  <r>
    <x v="884"/>
    <d v="2026-07-09T00:00:00"/>
    <s v="P004"/>
    <x v="3"/>
    <n v="12"/>
    <n v="50"/>
    <n v="0.35"/>
    <n v="10"/>
    <s v="USB-C Hub"/>
    <x v="0"/>
    <n v="15"/>
    <n v="600"/>
    <n v="17.5"/>
    <n v="180"/>
    <n v="410"/>
  </r>
  <r>
    <x v="885"/>
    <d v="2026-07-09T00:00:00"/>
    <s v="P004"/>
    <x v="0"/>
    <n v="6"/>
    <n v="50"/>
    <n v="0.35"/>
    <n v="15"/>
    <s v="USB-C Hub"/>
    <x v="0"/>
    <n v="15"/>
    <n v="300"/>
    <n v="17.5"/>
    <n v="90"/>
    <n v="195"/>
  </r>
  <r>
    <x v="886"/>
    <d v="2026-12-30T00:00:00"/>
    <s v="P004"/>
    <x v="1"/>
    <n v="8"/>
    <n v="50"/>
    <n v="0.1"/>
    <n v="20"/>
    <s v="USB-C Hub"/>
    <x v="0"/>
    <n v="15"/>
    <n v="400"/>
    <n v="5"/>
    <n v="120"/>
    <n v="260"/>
  </r>
  <r>
    <x v="887"/>
    <d v="2026-02-15T00:00:00"/>
    <s v="P004"/>
    <x v="0"/>
    <n v="10"/>
    <n v="50"/>
    <n v="0.1"/>
    <n v="20"/>
    <s v="USB-C Hub"/>
    <x v="0"/>
    <n v="15"/>
    <n v="500"/>
    <n v="5"/>
    <n v="150"/>
    <n v="330"/>
  </r>
  <r>
    <x v="888"/>
    <d v="2026-09-11T00:00:00"/>
    <s v="P004"/>
    <x v="2"/>
    <n v="19"/>
    <n v="50"/>
    <n v="0.2"/>
    <n v="10"/>
    <s v="USB-C Hub"/>
    <x v="0"/>
    <n v="15"/>
    <n v="950"/>
    <n v="10"/>
    <n v="285"/>
    <n v="655"/>
  </r>
  <r>
    <x v="889"/>
    <d v="2026-08-30T00:00:00"/>
    <s v="P004"/>
    <x v="2"/>
    <n v="23"/>
    <n v="50"/>
    <n v="0.1"/>
    <n v="15"/>
    <s v="USB-C Hub"/>
    <x v="0"/>
    <n v="15"/>
    <n v="1150"/>
    <n v="5"/>
    <n v="345"/>
    <n v="790"/>
  </r>
  <r>
    <x v="890"/>
    <d v="2026-02-08T00:00:00"/>
    <s v="P004"/>
    <x v="0"/>
    <n v="23"/>
    <n v="50"/>
    <n v="0.1"/>
    <n v="10"/>
    <s v="USB-C Hub"/>
    <x v="0"/>
    <n v="15"/>
    <n v="1150"/>
    <n v="5"/>
    <n v="345"/>
    <n v="795"/>
  </r>
  <r>
    <x v="891"/>
    <d v="2026-05-20T00:00:00"/>
    <s v="P004"/>
    <x v="0"/>
    <n v="3"/>
    <n v="50"/>
    <n v="0.1"/>
    <n v="5"/>
    <s v="USB-C Hub"/>
    <x v="0"/>
    <n v="15"/>
    <n v="150"/>
    <n v="5"/>
    <n v="45"/>
    <n v="100"/>
  </r>
  <r>
    <x v="892"/>
    <d v="2026-08-09T00:00:00"/>
    <s v="P004"/>
    <x v="1"/>
    <n v="4"/>
    <n v="50"/>
    <n v="0.2"/>
    <n v="15"/>
    <s v="USB-C Hub"/>
    <x v="0"/>
    <n v="15"/>
    <n v="200"/>
    <n v="10"/>
    <n v="60"/>
    <n v="125"/>
  </r>
  <r>
    <x v="893"/>
    <d v="2026-10-13T00:00:00"/>
    <s v="P004"/>
    <x v="1"/>
    <n v="13"/>
    <n v="50"/>
    <n v="0.2"/>
    <n v="5"/>
    <s v="USB-C Hub"/>
    <x v="0"/>
    <n v="15"/>
    <n v="650"/>
    <n v="10"/>
    <n v="195"/>
    <n v="450"/>
  </r>
  <r>
    <x v="894"/>
    <d v="2026-10-16T00:00:00"/>
    <s v="P004"/>
    <x v="0"/>
    <n v="5"/>
    <n v="50"/>
    <n v="0.2"/>
    <n v="5"/>
    <s v="USB-C Hub"/>
    <x v="0"/>
    <n v="15"/>
    <n v="250"/>
    <n v="10"/>
    <n v="75"/>
    <n v="170"/>
  </r>
  <r>
    <x v="895"/>
    <d v="2026-01-16T00:00:00"/>
    <s v="P004"/>
    <x v="0"/>
    <n v="15"/>
    <n v="50"/>
    <n v="0.1"/>
    <n v="20"/>
    <s v="USB-C Hub"/>
    <x v="0"/>
    <n v="15"/>
    <n v="750"/>
    <n v="5"/>
    <n v="225"/>
    <n v="505"/>
  </r>
  <r>
    <x v="896"/>
    <d v="2026-04-01T00:00:00"/>
    <s v="P004"/>
    <x v="0"/>
    <n v="8"/>
    <n v="50"/>
    <n v="0"/>
    <n v="15"/>
    <s v="USB-C Hub"/>
    <x v="0"/>
    <n v="15"/>
    <n v="400"/>
    <n v="0"/>
    <n v="120"/>
    <n v="265"/>
  </r>
  <r>
    <x v="897"/>
    <d v="2026-07-25T00:00:00"/>
    <s v="P004"/>
    <x v="2"/>
    <n v="14"/>
    <n v="50"/>
    <n v="0.2"/>
    <n v="10"/>
    <s v="USB-C Hub"/>
    <x v="0"/>
    <n v="15"/>
    <n v="700"/>
    <n v="10"/>
    <n v="210"/>
    <n v="480"/>
  </r>
  <r>
    <x v="898"/>
    <d v="2026-05-24T00:00:00"/>
    <s v="P004"/>
    <x v="0"/>
    <n v="11"/>
    <n v="50"/>
    <n v="0"/>
    <n v="15"/>
    <s v="USB-C Hub"/>
    <x v="0"/>
    <n v="15"/>
    <n v="550"/>
    <n v="0"/>
    <n v="165"/>
    <n v="370"/>
  </r>
  <r>
    <x v="899"/>
    <d v="2026-05-01T00:00:00"/>
    <s v="P004"/>
    <x v="1"/>
    <n v="13"/>
    <n v="50"/>
    <n v="0.2"/>
    <n v="10"/>
    <s v="USB-C Hub"/>
    <x v="0"/>
    <n v="15"/>
    <n v="650"/>
    <n v="10"/>
    <n v="195"/>
    <n v="445"/>
  </r>
  <r>
    <x v="900"/>
    <d v="2026-12-31T00:00:00"/>
    <s v="P004"/>
    <x v="3"/>
    <n v="25"/>
    <n v="50"/>
    <n v="0.1"/>
    <n v="5"/>
    <s v="USB-C Hub"/>
    <x v="0"/>
    <n v="15"/>
    <n v="1250"/>
    <n v="5"/>
    <n v="375"/>
    <n v="870"/>
  </r>
  <r>
    <x v="901"/>
    <d v="2026-04-26T00:00:00"/>
    <s v="P004"/>
    <x v="0"/>
    <n v="20"/>
    <n v="50"/>
    <n v="0.35"/>
    <n v="10"/>
    <s v="USB-C Hub"/>
    <x v="0"/>
    <n v="15"/>
    <n v="1000"/>
    <n v="17.5"/>
    <n v="300"/>
    <n v="690"/>
  </r>
  <r>
    <x v="902"/>
    <d v="2026-05-06T00:00:00"/>
    <s v="P004"/>
    <x v="0"/>
    <n v="2"/>
    <n v="50"/>
    <n v="0.1"/>
    <n v="10"/>
    <s v="USB-C Hub"/>
    <x v="0"/>
    <n v="15"/>
    <n v="100"/>
    <n v="5"/>
    <n v="30"/>
    <n v="60"/>
  </r>
  <r>
    <x v="903"/>
    <d v="2026-10-18T00:00:00"/>
    <s v="P004"/>
    <x v="2"/>
    <n v="8"/>
    <n v="50"/>
    <n v="0"/>
    <n v="20"/>
    <s v="USB-C Hub"/>
    <x v="0"/>
    <n v="15"/>
    <n v="400"/>
    <n v="0"/>
    <n v="120"/>
    <n v="260"/>
  </r>
  <r>
    <x v="904"/>
    <d v="2026-05-21T00:00:00"/>
    <s v="P004"/>
    <x v="1"/>
    <n v="7"/>
    <n v="50"/>
    <n v="0"/>
    <n v="10"/>
    <s v="USB-C Hub"/>
    <x v="0"/>
    <n v="15"/>
    <n v="350"/>
    <n v="0"/>
    <n v="105"/>
    <n v="235"/>
  </r>
  <r>
    <x v="905"/>
    <d v="2026-04-06T00:00:00"/>
    <s v="P004"/>
    <x v="1"/>
    <n v="6"/>
    <n v="50"/>
    <n v="0.1"/>
    <n v="10"/>
    <s v="USB-C Hub"/>
    <x v="0"/>
    <n v="15"/>
    <n v="300"/>
    <n v="5"/>
    <n v="90"/>
    <n v="200"/>
  </r>
  <r>
    <x v="906"/>
    <d v="2026-08-29T00:00:00"/>
    <s v="P004"/>
    <x v="0"/>
    <n v="12"/>
    <n v="50"/>
    <n v="0.1"/>
    <n v="10"/>
    <s v="USB-C Hub"/>
    <x v="0"/>
    <n v="15"/>
    <n v="600"/>
    <n v="5"/>
    <n v="180"/>
    <n v="410"/>
  </r>
  <r>
    <x v="907"/>
    <d v="2026-04-16T00:00:00"/>
    <s v="P004"/>
    <x v="1"/>
    <n v="20"/>
    <n v="50"/>
    <n v="0.2"/>
    <n v="5"/>
    <s v="USB-C Hub"/>
    <x v="0"/>
    <n v="15"/>
    <n v="1000"/>
    <n v="10"/>
    <n v="300"/>
    <n v="695"/>
  </r>
  <r>
    <x v="908"/>
    <d v="2026-10-15T00:00:00"/>
    <s v="P004"/>
    <x v="0"/>
    <n v="17"/>
    <n v="50"/>
    <n v="0.1"/>
    <n v="20"/>
    <s v="USB-C Hub"/>
    <x v="0"/>
    <n v="15"/>
    <n v="850"/>
    <n v="5"/>
    <n v="255"/>
    <n v="575"/>
  </r>
  <r>
    <x v="909"/>
    <d v="2026-05-26T00:00:00"/>
    <s v="P004"/>
    <x v="3"/>
    <n v="16"/>
    <n v="50"/>
    <n v="0.1"/>
    <n v="20"/>
    <s v="USB-C Hub"/>
    <x v="0"/>
    <n v="15"/>
    <n v="800"/>
    <n v="5"/>
    <n v="240"/>
    <n v="540"/>
  </r>
  <r>
    <x v="910"/>
    <d v="2026-07-19T00:00:00"/>
    <s v="P004"/>
    <x v="2"/>
    <n v="2"/>
    <n v="50"/>
    <n v="0.35"/>
    <n v="20"/>
    <s v="USB-C Hub"/>
    <x v="0"/>
    <n v="15"/>
    <n v="100"/>
    <n v="17.5"/>
    <n v="30"/>
    <n v="50"/>
  </r>
  <r>
    <x v="911"/>
    <d v="2026-06-09T00:00:00"/>
    <s v="P004"/>
    <x v="0"/>
    <n v="17"/>
    <n v="50"/>
    <n v="0.1"/>
    <n v="20"/>
    <s v="USB-C Hub"/>
    <x v="0"/>
    <n v="15"/>
    <n v="850"/>
    <n v="5"/>
    <n v="255"/>
    <n v="575"/>
  </r>
  <r>
    <x v="912"/>
    <d v="2026-08-29T00:00:00"/>
    <s v="P004"/>
    <x v="1"/>
    <n v="25"/>
    <n v="50"/>
    <n v="0.2"/>
    <n v="5"/>
    <s v="USB-C Hub"/>
    <x v="0"/>
    <n v="15"/>
    <n v="1250"/>
    <n v="10"/>
    <n v="375"/>
    <n v="870"/>
  </r>
  <r>
    <x v="913"/>
    <d v="2026-03-25T00:00:00"/>
    <s v="P004"/>
    <x v="1"/>
    <n v="20"/>
    <n v="50"/>
    <n v="0"/>
    <n v="15"/>
    <s v="USB-C Hub"/>
    <x v="0"/>
    <n v="15"/>
    <n v="1000"/>
    <n v="0"/>
    <n v="300"/>
    <n v="685"/>
  </r>
  <r>
    <x v="914"/>
    <d v="2026-07-17T00:00:00"/>
    <s v="P004"/>
    <x v="2"/>
    <n v="6"/>
    <n v="50"/>
    <n v="0.35"/>
    <n v="20"/>
    <s v="USB-C Hub"/>
    <x v="0"/>
    <n v="15"/>
    <n v="300"/>
    <n v="17.5"/>
    <n v="90"/>
    <n v="190"/>
  </r>
  <r>
    <x v="915"/>
    <d v="2026-10-20T00:00:00"/>
    <s v="P004"/>
    <x v="3"/>
    <n v="8"/>
    <n v="50"/>
    <n v="0"/>
    <n v="20"/>
    <s v="USB-C Hub"/>
    <x v="0"/>
    <n v="15"/>
    <n v="400"/>
    <n v="0"/>
    <n v="120"/>
    <n v="260"/>
  </r>
  <r>
    <x v="916"/>
    <d v="2026-01-23T00:00:00"/>
    <s v="P004"/>
    <x v="3"/>
    <n v="24"/>
    <n v="50"/>
    <n v="0"/>
    <n v="5"/>
    <s v="USB-C Hub"/>
    <x v="0"/>
    <n v="15"/>
    <n v="1200"/>
    <n v="0"/>
    <n v="360"/>
    <n v="835"/>
  </r>
  <r>
    <x v="917"/>
    <d v="2026-01-27T00:00:00"/>
    <s v="P004"/>
    <x v="0"/>
    <n v="11"/>
    <n v="50"/>
    <n v="0.2"/>
    <n v="15"/>
    <s v="USB-C Hub"/>
    <x v="0"/>
    <n v="15"/>
    <n v="550"/>
    <n v="10"/>
    <n v="165"/>
    <n v="370"/>
  </r>
  <r>
    <x v="918"/>
    <d v="2026-04-03T00:00:00"/>
    <s v="P004"/>
    <x v="1"/>
    <n v="18"/>
    <n v="50"/>
    <n v="0.2"/>
    <n v="10"/>
    <s v="USB-C Hub"/>
    <x v="0"/>
    <n v="15"/>
    <n v="900"/>
    <n v="10"/>
    <n v="270"/>
    <n v="620"/>
  </r>
  <r>
    <x v="919"/>
    <d v="2026-05-17T00:00:00"/>
    <s v="P004"/>
    <x v="0"/>
    <n v="7"/>
    <n v="50"/>
    <n v="0.2"/>
    <n v="20"/>
    <s v="USB-C Hub"/>
    <x v="0"/>
    <n v="15"/>
    <n v="350"/>
    <n v="10"/>
    <n v="105"/>
    <n v="225"/>
  </r>
  <r>
    <x v="920"/>
    <d v="2026-11-01T00:00:00"/>
    <s v="P004"/>
    <x v="2"/>
    <n v="18"/>
    <n v="50"/>
    <n v="0"/>
    <n v="15"/>
    <s v="USB-C Hub"/>
    <x v="0"/>
    <n v="15"/>
    <n v="900"/>
    <n v="0"/>
    <n v="270"/>
    <n v="615"/>
  </r>
  <r>
    <x v="921"/>
    <d v="2026-08-11T00:00:00"/>
    <s v="P004"/>
    <x v="3"/>
    <n v="19"/>
    <n v="50"/>
    <n v="0.2"/>
    <n v="20"/>
    <s v="USB-C Hub"/>
    <x v="0"/>
    <n v="15"/>
    <n v="950"/>
    <n v="10"/>
    <n v="285"/>
    <n v="645"/>
  </r>
  <r>
    <x v="922"/>
    <d v="2026-07-18T00:00:00"/>
    <s v="P004"/>
    <x v="2"/>
    <n v="17"/>
    <n v="50"/>
    <n v="0"/>
    <n v="15"/>
    <s v="USB-C Hub"/>
    <x v="0"/>
    <n v="15"/>
    <n v="850"/>
    <n v="0"/>
    <n v="255"/>
    <n v="580"/>
  </r>
  <r>
    <x v="923"/>
    <d v="2026-06-18T00:00:00"/>
    <s v="P004"/>
    <x v="3"/>
    <n v="5"/>
    <n v="50"/>
    <n v="0.2"/>
    <n v="10"/>
    <s v="USB-C Hub"/>
    <x v="0"/>
    <n v="15"/>
    <n v="250"/>
    <n v="10"/>
    <n v="75"/>
    <n v="165"/>
  </r>
  <r>
    <x v="924"/>
    <d v="2026-05-15T00:00:00"/>
    <s v="P004"/>
    <x v="0"/>
    <n v="23"/>
    <n v="50"/>
    <n v="0.2"/>
    <n v="15"/>
    <s v="USB-C Hub"/>
    <x v="0"/>
    <n v="15"/>
    <n v="1150"/>
    <n v="10"/>
    <n v="345"/>
    <n v="790"/>
  </r>
  <r>
    <x v="925"/>
    <d v="2026-07-07T00:00:00"/>
    <s v="P004"/>
    <x v="0"/>
    <n v="9"/>
    <n v="50"/>
    <n v="0.35"/>
    <n v="5"/>
    <s v="USB-C Hub"/>
    <x v="0"/>
    <n v="15"/>
    <n v="450"/>
    <n v="17.5"/>
    <n v="135"/>
    <n v="310"/>
  </r>
  <r>
    <x v="926"/>
    <d v="2026-02-26T00:00:00"/>
    <s v="P004"/>
    <x v="2"/>
    <n v="7"/>
    <n v="50"/>
    <n v="0.35"/>
    <n v="5"/>
    <s v="USB-C Hub"/>
    <x v="0"/>
    <n v="15"/>
    <n v="350"/>
    <n v="17.5"/>
    <n v="105"/>
    <n v="240"/>
  </r>
  <r>
    <x v="927"/>
    <d v="2026-03-22T00:00:00"/>
    <s v="P004"/>
    <x v="2"/>
    <n v="24"/>
    <n v="50"/>
    <n v="0.1"/>
    <n v="15"/>
    <s v="USB-C Hub"/>
    <x v="0"/>
    <n v="15"/>
    <n v="1200"/>
    <n v="5"/>
    <n v="360"/>
    <n v="825"/>
  </r>
  <r>
    <x v="928"/>
    <d v="2026-10-22T00:00:00"/>
    <s v="P004"/>
    <x v="1"/>
    <n v="4"/>
    <n v="50"/>
    <n v="0.2"/>
    <n v="20"/>
    <s v="USB-C Hub"/>
    <x v="0"/>
    <n v="15"/>
    <n v="200"/>
    <n v="10"/>
    <n v="60"/>
    <n v="120"/>
  </r>
  <r>
    <x v="929"/>
    <d v="2026-06-23T00:00:00"/>
    <s v="P004"/>
    <x v="2"/>
    <n v="7"/>
    <n v="50"/>
    <n v="0.2"/>
    <n v="5"/>
    <s v="USB-C Hub"/>
    <x v="0"/>
    <n v="15"/>
    <n v="350"/>
    <n v="10"/>
    <n v="105"/>
    <n v="240"/>
  </r>
  <r>
    <x v="930"/>
    <d v="2026-04-15T00:00:00"/>
    <s v="P004"/>
    <x v="3"/>
    <n v="18"/>
    <n v="50"/>
    <n v="0.35"/>
    <n v="15"/>
    <s v="USB-C Hub"/>
    <x v="0"/>
    <n v="15"/>
    <n v="900"/>
    <n v="17.5"/>
    <n v="270"/>
    <n v="615"/>
  </r>
  <r>
    <x v="931"/>
    <d v="2026-09-18T00:00:00"/>
    <s v="P004"/>
    <x v="2"/>
    <n v="23"/>
    <n v="50"/>
    <n v="0.1"/>
    <n v="10"/>
    <s v="USB-C Hub"/>
    <x v="0"/>
    <n v="15"/>
    <n v="1150"/>
    <n v="5"/>
    <n v="345"/>
    <n v="795"/>
  </r>
  <r>
    <x v="932"/>
    <d v="2026-06-18T00:00:00"/>
    <s v="P004"/>
    <x v="3"/>
    <n v="8"/>
    <n v="50"/>
    <n v="0.2"/>
    <n v="15"/>
    <s v="USB-C Hub"/>
    <x v="0"/>
    <n v="15"/>
    <n v="400"/>
    <n v="10"/>
    <n v="120"/>
    <n v="265"/>
  </r>
  <r>
    <x v="933"/>
    <d v="2026-03-06T00:00:00"/>
    <s v="P004"/>
    <x v="3"/>
    <n v="16"/>
    <n v="50"/>
    <n v="0.2"/>
    <n v="20"/>
    <s v="USB-C Hub"/>
    <x v="0"/>
    <n v="15"/>
    <n v="800"/>
    <n v="10"/>
    <n v="240"/>
    <n v="540"/>
  </r>
  <r>
    <x v="934"/>
    <d v="2026-01-04T00:00:00"/>
    <s v="P004"/>
    <x v="0"/>
    <n v="8"/>
    <n v="50"/>
    <n v="0"/>
    <n v="10"/>
    <s v="USB-C Hub"/>
    <x v="0"/>
    <n v="15"/>
    <n v="400"/>
    <n v="0"/>
    <n v="120"/>
    <n v="270"/>
  </r>
  <r>
    <x v="935"/>
    <d v="2026-03-20T00:00:00"/>
    <s v="P004"/>
    <x v="0"/>
    <n v="25"/>
    <n v="50"/>
    <n v="0.1"/>
    <n v="20"/>
    <s v="USB-C Hub"/>
    <x v="0"/>
    <n v="15"/>
    <n v="1250"/>
    <n v="5"/>
    <n v="375"/>
    <n v="855"/>
  </r>
  <r>
    <x v="936"/>
    <d v="2026-11-11T00:00:00"/>
    <s v="P004"/>
    <x v="1"/>
    <n v="4"/>
    <n v="50"/>
    <n v="0.2"/>
    <n v="15"/>
    <s v="USB-C Hub"/>
    <x v="0"/>
    <n v="15"/>
    <n v="200"/>
    <n v="10"/>
    <n v="60"/>
    <n v="125"/>
  </r>
  <r>
    <x v="937"/>
    <d v="2026-05-13T00:00:00"/>
    <s v="P004"/>
    <x v="1"/>
    <n v="7"/>
    <n v="50"/>
    <n v="0.1"/>
    <n v="5"/>
    <s v="USB-C Hub"/>
    <x v="0"/>
    <n v="15"/>
    <n v="350"/>
    <n v="5"/>
    <n v="105"/>
    <n v="240"/>
  </r>
  <r>
    <x v="938"/>
    <d v="2026-05-31T00:00:00"/>
    <s v="P004"/>
    <x v="3"/>
    <n v="5"/>
    <n v="50"/>
    <n v="0.35"/>
    <n v="15"/>
    <s v="USB-C Hub"/>
    <x v="0"/>
    <n v="15"/>
    <n v="250"/>
    <n v="17.5"/>
    <n v="75"/>
    <n v="160"/>
  </r>
  <r>
    <x v="939"/>
    <d v="2026-06-01T00:00:00"/>
    <s v="P004"/>
    <x v="0"/>
    <n v="21"/>
    <n v="50"/>
    <n v="0.1"/>
    <n v="10"/>
    <s v="USB-C Hub"/>
    <x v="0"/>
    <n v="15"/>
    <n v="1050"/>
    <n v="5"/>
    <n v="315"/>
    <n v="725"/>
  </r>
  <r>
    <x v="940"/>
    <d v="2026-03-15T00:00:00"/>
    <s v="P004"/>
    <x v="2"/>
    <n v="13"/>
    <n v="50"/>
    <n v="0.1"/>
    <n v="5"/>
    <s v="USB-C Hub"/>
    <x v="0"/>
    <n v="15"/>
    <n v="650"/>
    <n v="5"/>
    <n v="195"/>
    <n v="450"/>
  </r>
  <r>
    <x v="941"/>
    <d v="2026-06-17T00:00:00"/>
    <s v="P004"/>
    <x v="3"/>
    <n v="1"/>
    <n v="50"/>
    <n v="0.2"/>
    <n v="5"/>
    <s v="USB-C Hub"/>
    <x v="0"/>
    <n v="15"/>
    <n v="50"/>
    <n v="10"/>
    <n v="15"/>
    <n v="30"/>
  </r>
  <r>
    <x v="942"/>
    <d v="2026-02-10T00:00:00"/>
    <s v="P004"/>
    <x v="2"/>
    <n v="18"/>
    <n v="50"/>
    <n v="0.1"/>
    <n v="10"/>
    <s v="USB-C Hub"/>
    <x v="0"/>
    <n v="15"/>
    <n v="900"/>
    <n v="5"/>
    <n v="270"/>
    <n v="620"/>
  </r>
  <r>
    <x v="943"/>
    <d v="2026-10-22T00:00:00"/>
    <s v="P004"/>
    <x v="3"/>
    <n v="23"/>
    <n v="50"/>
    <n v="0.2"/>
    <n v="15"/>
    <s v="USB-C Hub"/>
    <x v="0"/>
    <n v="15"/>
    <n v="1150"/>
    <n v="10"/>
    <n v="345"/>
    <n v="790"/>
  </r>
  <r>
    <x v="944"/>
    <d v="2026-10-15T00:00:00"/>
    <s v="P004"/>
    <x v="2"/>
    <n v="1"/>
    <n v="50"/>
    <n v="0.35"/>
    <n v="20"/>
    <s v="USB-C Hub"/>
    <x v="0"/>
    <n v="15"/>
    <n v="50"/>
    <n v="17.5"/>
    <n v="15"/>
    <n v="15"/>
  </r>
  <r>
    <x v="945"/>
    <d v="2026-08-11T00:00:00"/>
    <s v="P004"/>
    <x v="2"/>
    <n v="3"/>
    <n v="50"/>
    <n v="0"/>
    <n v="5"/>
    <s v="USB-C Hub"/>
    <x v="0"/>
    <n v="15"/>
    <n v="150"/>
    <n v="0"/>
    <n v="45"/>
    <n v="100"/>
  </r>
  <r>
    <x v="946"/>
    <d v="2026-11-23T00:00:00"/>
    <s v="P004"/>
    <x v="2"/>
    <n v="25"/>
    <n v="50"/>
    <n v="0.2"/>
    <n v="20"/>
    <s v="USB-C Hub"/>
    <x v="0"/>
    <n v="15"/>
    <n v="1250"/>
    <n v="10"/>
    <n v="375"/>
    <n v="855"/>
  </r>
  <r>
    <x v="947"/>
    <d v="2026-09-01T00:00:00"/>
    <s v="P004"/>
    <x v="1"/>
    <n v="13"/>
    <n v="50"/>
    <n v="0.35"/>
    <n v="5"/>
    <s v="USB-C Hub"/>
    <x v="0"/>
    <n v="15"/>
    <n v="650"/>
    <n v="17.5"/>
    <n v="195"/>
    <n v="450"/>
  </r>
  <r>
    <x v="948"/>
    <d v="2026-10-23T00:00:00"/>
    <s v="P004"/>
    <x v="1"/>
    <n v="9"/>
    <n v="50"/>
    <n v="0.2"/>
    <n v="15"/>
    <s v="USB-C Hub"/>
    <x v="0"/>
    <n v="15"/>
    <n v="450"/>
    <n v="10"/>
    <n v="135"/>
    <n v="300"/>
  </r>
  <r>
    <x v="949"/>
    <d v="2026-08-08T00:00:00"/>
    <s v="P004"/>
    <x v="0"/>
    <n v="20"/>
    <n v="50"/>
    <n v="0.2"/>
    <n v="5"/>
    <s v="USB-C Hub"/>
    <x v="0"/>
    <n v="15"/>
    <n v="1000"/>
    <n v="10"/>
    <n v="300"/>
    <n v="695"/>
  </r>
  <r>
    <x v="950"/>
    <d v="2026-10-08T00:00:00"/>
    <s v="P004"/>
    <x v="0"/>
    <n v="20"/>
    <n v="50"/>
    <n v="0.2"/>
    <n v="20"/>
    <s v="USB-C Hub"/>
    <x v="0"/>
    <n v="15"/>
    <n v="1000"/>
    <n v="10"/>
    <n v="300"/>
    <n v="680"/>
  </r>
  <r>
    <x v="951"/>
    <d v="2026-02-19T00:00:00"/>
    <s v="P004"/>
    <x v="0"/>
    <n v="3"/>
    <n v="50"/>
    <n v="0.35"/>
    <n v="10"/>
    <s v="USB-C Hub"/>
    <x v="0"/>
    <n v="15"/>
    <n v="150"/>
    <n v="17.5"/>
    <n v="45"/>
    <n v="95"/>
  </r>
  <r>
    <x v="952"/>
    <d v="2026-03-07T00:00:00"/>
    <s v="P004"/>
    <x v="2"/>
    <n v="14"/>
    <n v="50"/>
    <n v="0"/>
    <n v="10"/>
    <s v="USB-C Hub"/>
    <x v="0"/>
    <n v="15"/>
    <n v="700"/>
    <n v="0"/>
    <n v="210"/>
    <n v="480"/>
  </r>
  <r>
    <x v="953"/>
    <d v="2026-10-14T00:00:00"/>
    <s v="P004"/>
    <x v="0"/>
    <n v="19"/>
    <n v="50"/>
    <n v="0.35"/>
    <n v="20"/>
    <s v="USB-C Hub"/>
    <x v="0"/>
    <n v="15"/>
    <n v="950"/>
    <n v="17.5"/>
    <n v="285"/>
    <n v="645"/>
  </r>
  <r>
    <x v="954"/>
    <d v="2026-04-17T00:00:00"/>
    <s v="P004"/>
    <x v="3"/>
    <n v="5"/>
    <n v="50"/>
    <n v="0.1"/>
    <n v="5"/>
    <s v="USB-C Hub"/>
    <x v="0"/>
    <n v="15"/>
    <n v="250"/>
    <n v="5"/>
    <n v="75"/>
    <n v="170"/>
  </r>
  <r>
    <x v="955"/>
    <d v="2026-01-02T00:00:00"/>
    <s v="P004"/>
    <x v="0"/>
    <n v="19"/>
    <n v="50"/>
    <n v="0.35"/>
    <n v="5"/>
    <s v="USB-C Hub"/>
    <x v="0"/>
    <n v="15"/>
    <n v="950"/>
    <n v="17.5"/>
    <n v="285"/>
    <n v="660"/>
  </r>
  <r>
    <x v="956"/>
    <d v="2026-11-24T00:00:00"/>
    <s v="P004"/>
    <x v="1"/>
    <n v="5"/>
    <n v="50"/>
    <n v="0.35"/>
    <n v="5"/>
    <s v="USB-C Hub"/>
    <x v="0"/>
    <n v="15"/>
    <n v="250"/>
    <n v="17.5"/>
    <n v="75"/>
    <n v="170"/>
  </r>
  <r>
    <x v="957"/>
    <d v="2026-05-21T00:00:00"/>
    <s v="P004"/>
    <x v="1"/>
    <n v="9"/>
    <n v="50"/>
    <n v="0.35"/>
    <n v="10"/>
    <s v="USB-C Hub"/>
    <x v="0"/>
    <n v="15"/>
    <n v="450"/>
    <n v="17.5"/>
    <n v="135"/>
    <n v="305"/>
  </r>
  <r>
    <x v="958"/>
    <d v="2026-11-19T00:00:00"/>
    <s v="P004"/>
    <x v="0"/>
    <n v="18"/>
    <n v="50"/>
    <n v="0.1"/>
    <n v="20"/>
    <s v="USB-C Hub"/>
    <x v="0"/>
    <n v="15"/>
    <n v="900"/>
    <n v="5"/>
    <n v="270"/>
    <n v="610"/>
  </r>
  <r>
    <x v="959"/>
    <d v="2026-03-26T00:00:00"/>
    <s v="P004"/>
    <x v="0"/>
    <n v="13"/>
    <n v="50"/>
    <n v="0.1"/>
    <n v="20"/>
    <s v="USB-C Hub"/>
    <x v="0"/>
    <n v="15"/>
    <n v="650"/>
    <n v="5"/>
    <n v="195"/>
    <n v="435"/>
  </r>
  <r>
    <x v="960"/>
    <d v="2026-04-25T00:00:00"/>
    <s v="P004"/>
    <x v="3"/>
    <n v="7"/>
    <n v="50"/>
    <n v="0.2"/>
    <n v="20"/>
    <s v="USB-C Hub"/>
    <x v="0"/>
    <n v="15"/>
    <n v="350"/>
    <n v="10"/>
    <n v="105"/>
    <n v="225"/>
  </r>
  <r>
    <x v="961"/>
    <d v="2026-05-31T00:00:00"/>
    <s v="P004"/>
    <x v="3"/>
    <n v="18"/>
    <n v="50"/>
    <n v="0"/>
    <n v="20"/>
    <s v="USB-C Hub"/>
    <x v="0"/>
    <n v="15"/>
    <n v="900"/>
    <n v="0"/>
    <n v="270"/>
    <n v="610"/>
  </r>
  <r>
    <x v="962"/>
    <d v="2026-05-27T00:00:00"/>
    <s v="P004"/>
    <x v="0"/>
    <n v="12"/>
    <n v="50"/>
    <n v="0.35"/>
    <n v="20"/>
    <s v="USB-C Hub"/>
    <x v="0"/>
    <n v="15"/>
    <n v="600"/>
    <n v="17.5"/>
    <n v="180"/>
    <n v="400"/>
  </r>
  <r>
    <x v="963"/>
    <d v="2026-06-17T00:00:00"/>
    <s v="P004"/>
    <x v="1"/>
    <n v="8"/>
    <n v="50"/>
    <n v="0"/>
    <n v="20"/>
    <s v="USB-C Hub"/>
    <x v="0"/>
    <n v="15"/>
    <n v="400"/>
    <n v="0"/>
    <n v="120"/>
    <n v="260"/>
  </r>
  <r>
    <x v="964"/>
    <d v="2026-04-10T00:00:00"/>
    <s v="P004"/>
    <x v="3"/>
    <n v="2"/>
    <n v="50"/>
    <n v="0.2"/>
    <n v="10"/>
    <s v="USB-C Hub"/>
    <x v="0"/>
    <n v="15"/>
    <n v="100"/>
    <n v="10"/>
    <n v="30"/>
    <n v="60"/>
  </r>
  <r>
    <x v="965"/>
    <d v="2026-07-16T00:00:00"/>
    <s v="P004"/>
    <x v="2"/>
    <n v="2"/>
    <n v="50"/>
    <n v="0.1"/>
    <n v="5"/>
    <s v="USB-C Hub"/>
    <x v="0"/>
    <n v="15"/>
    <n v="100"/>
    <n v="5"/>
    <n v="30"/>
    <n v="65"/>
  </r>
  <r>
    <x v="966"/>
    <d v="2026-06-20T00:00:00"/>
    <s v="P004"/>
    <x v="0"/>
    <n v="22"/>
    <n v="50"/>
    <n v="0.2"/>
    <n v="15"/>
    <s v="USB-C Hub"/>
    <x v="0"/>
    <n v="15"/>
    <n v="1100"/>
    <n v="10"/>
    <n v="330"/>
    <n v="755"/>
  </r>
  <r>
    <x v="967"/>
    <d v="2026-07-17T00:00:00"/>
    <s v="P004"/>
    <x v="0"/>
    <n v="20"/>
    <n v="50"/>
    <n v="0.2"/>
    <n v="20"/>
    <s v="USB-C Hub"/>
    <x v="0"/>
    <n v="15"/>
    <n v="1000"/>
    <n v="10"/>
    <n v="300"/>
    <n v="680"/>
  </r>
  <r>
    <x v="968"/>
    <d v="2026-05-29T00:00:00"/>
    <s v="P004"/>
    <x v="2"/>
    <n v="25"/>
    <n v="50"/>
    <n v="0.2"/>
    <n v="20"/>
    <s v="USB-C Hub"/>
    <x v="0"/>
    <n v="15"/>
    <n v="1250"/>
    <n v="10"/>
    <n v="375"/>
    <n v="855"/>
  </r>
  <r>
    <x v="969"/>
    <d v="2026-03-28T00:00:00"/>
    <s v="P004"/>
    <x v="1"/>
    <n v="6"/>
    <n v="50"/>
    <n v="0"/>
    <n v="15"/>
    <s v="USB-C Hub"/>
    <x v="0"/>
    <n v="15"/>
    <n v="300"/>
    <n v="0"/>
    <n v="90"/>
    <n v="195"/>
  </r>
  <r>
    <x v="970"/>
    <d v="2026-02-21T00:00:00"/>
    <s v="P004"/>
    <x v="3"/>
    <n v="24"/>
    <n v="50"/>
    <n v="0.1"/>
    <n v="10"/>
    <s v="USB-C Hub"/>
    <x v="0"/>
    <n v="15"/>
    <n v="1200"/>
    <n v="5"/>
    <n v="360"/>
    <n v="830"/>
  </r>
  <r>
    <x v="971"/>
    <d v="2026-09-08T00:00:00"/>
    <s v="P004"/>
    <x v="2"/>
    <n v="5"/>
    <n v="50"/>
    <n v="0.35"/>
    <n v="10"/>
    <s v="USB-C Hub"/>
    <x v="0"/>
    <n v="15"/>
    <n v="250"/>
    <n v="17.5"/>
    <n v="75"/>
    <n v="165"/>
  </r>
  <r>
    <x v="972"/>
    <d v="2026-01-17T00:00:00"/>
    <s v="P004"/>
    <x v="0"/>
    <n v="11"/>
    <n v="50"/>
    <n v="0"/>
    <n v="10"/>
    <s v="USB-C Hub"/>
    <x v="0"/>
    <n v="15"/>
    <n v="550"/>
    <n v="0"/>
    <n v="165"/>
    <n v="375"/>
  </r>
  <r>
    <x v="973"/>
    <d v="2026-07-11T00:00:00"/>
    <s v="P004"/>
    <x v="3"/>
    <n v="11"/>
    <n v="50"/>
    <n v="0.2"/>
    <n v="15"/>
    <s v="USB-C Hub"/>
    <x v="0"/>
    <n v="15"/>
    <n v="550"/>
    <n v="10"/>
    <n v="165"/>
    <n v="370"/>
  </r>
  <r>
    <x v="974"/>
    <d v="2026-10-03T00:00:00"/>
    <s v="P004"/>
    <x v="0"/>
    <n v="18"/>
    <n v="50"/>
    <n v="0.35"/>
    <n v="20"/>
    <s v="USB-C Hub"/>
    <x v="0"/>
    <n v="15"/>
    <n v="900"/>
    <n v="17.5"/>
    <n v="270"/>
    <n v="610"/>
  </r>
  <r>
    <x v="975"/>
    <d v="2026-09-19T00:00:00"/>
    <s v="P004"/>
    <x v="3"/>
    <n v="5"/>
    <n v="50"/>
    <n v="0.2"/>
    <n v="5"/>
    <s v="USB-C Hub"/>
    <x v="0"/>
    <n v="15"/>
    <n v="250"/>
    <n v="10"/>
    <n v="75"/>
    <n v="170"/>
  </r>
  <r>
    <x v="976"/>
    <d v="2026-09-28T00:00:00"/>
    <s v="P004"/>
    <x v="3"/>
    <n v="6"/>
    <n v="50"/>
    <n v="0.35"/>
    <n v="20"/>
    <s v="USB-C Hub"/>
    <x v="0"/>
    <n v="15"/>
    <n v="300"/>
    <n v="17.5"/>
    <n v="90"/>
    <n v="190"/>
  </r>
  <r>
    <x v="977"/>
    <d v="2026-03-02T00:00:00"/>
    <s v="P004"/>
    <x v="2"/>
    <n v="6"/>
    <n v="50"/>
    <n v="0.35"/>
    <n v="20"/>
    <s v="USB-C Hub"/>
    <x v="0"/>
    <n v="15"/>
    <n v="300"/>
    <n v="17.5"/>
    <n v="90"/>
    <n v="190"/>
  </r>
  <r>
    <x v="978"/>
    <d v="2026-01-23T00:00:00"/>
    <s v="P004"/>
    <x v="3"/>
    <n v="3"/>
    <n v="50"/>
    <n v="0"/>
    <n v="5"/>
    <s v="USB-C Hub"/>
    <x v="0"/>
    <n v="15"/>
    <n v="150"/>
    <n v="0"/>
    <n v="45"/>
    <n v="100"/>
  </r>
  <r>
    <x v="979"/>
    <d v="2026-04-02T00:00:00"/>
    <s v="P004"/>
    <x v="1"/>
    <n v="23"/>
    <n v="50"/>
    <n v="0"/>
    <n v="20"/>
    <s v="USB-C Hub"/>
    <x v="0"/>
    <n v="15"/>
    <n v="1150"/>
    <n v="0"/>
    <n v="345"/>
    <n v="785"/>
  </r>
  <r>
    <x v="980"/>
    <d v="2026-07-12T00:00:00"/>
    <s v="P004"/>
    <x v="3"/>
    <n v="4"/>
    <n v="50"/>
    <n v="0.1"/>
    <n v="5"/>
    <s v="USB-C Hub"/>
    <x v="0"/>
    <n v="15"/>
    <n v="200"/>
    <n v="5"/>
    <n v="60"/>
    <n v="135"/>
  </r>
  <r>
    <x v="981"/>
    <d v="2026-02-20T00:00:00"/>
    <s v="P004"/>
    <x v="3"/>
    <n v="25"/>
    <n v="50"/>
    <n v="0.1"/>
    <n v="20"/>
    <s v="USB-C Hub"/>
    <x v="0"/>
    <n v="15"/>
    <n v="1250"/>
    <n v="5"/>
    <n v="375"/>
    <n v="855"/>
  </r>
  <r>
    <x v="982"/>
    <d v="2026-04-19T00:00:00"/>
    <s v="P004"/>
    <x v="0"/>
    <n v="11"/>
    <n v="50"/>
    <n v="0"/>
    <n v="20"/>
    <s v="USB-C Hub"/>
    <x v="0"/>
    <n v="15"/>
    <n v="550"/>
    <n v="0"/>
    <n v="165"/>
    <n v="365"/>
  </r>
  <r>
    <x v="983"/>
    <d v="2026-08-15T00:00:00"/>
    <s v="P004"/>
    <x v="0"/>
    <n v="13"/>
    <n v="50"/>
    <n v="0.2"/>
    <n v="10"/>
    <s v="USB-C Hub"/>
    <x v="0"/>
    <n v="15"/>
    <n v="650"/>
    <n v="10"/>
    <n v="195"/>
    <n v="445"/>
  </r>
  <r>
    <x v="984"/>
    <d v="2026-08-28T00:00:00"/>
    <s v="P004"/>
    <x v="3"/>
    <n v="18"/>
    <n v="50"/>
    <n v="0.2"/>
    <n v="20"/>
    <s v="USB-C Hub"/>
    <x v="0"/>
    <n v="15"/>
    <n v="900"/>
    <n v="10"/>
    <n v="270"/>
    <n v="610"/>
  </r>
  <r>
    <x v="985"/>
    <d v="2026-12-19T00:00:00"/>
    <s v="P004"/>
    <x v="0"/>
    <n v="11"/>
    <n v="50"/>
    <n v="0.2"/>
    <n v="20"/>
    <s v="USB-C Hub"/>
    <x v="0"/>
    <n v="15"/>
    <n v="550"/>
    <n v="10"/>
    <n v="165"/>
    <n v="365"/>
  </r>
  <r>
    <x v="986"/>
    <d v="2026-11-24T00:00:00"/>
    <s v="P004"/>
    <x v="3"/>
    <n v="24"/>
    <n v="50"/>
    <n v="0.2"/>
    <n v="20"/>
    <s v="USB-C Hub"/>
    <x v="0"/>
    <n v="15"/>
    <n v="1200"/>
    <n v="10"/>
    <n v="360"/>
    <n v="820"/>
  </r>
  <r>
    <x v="987"/>
    <d v="2026-05-22T00:00:00"/>
    <s v="P004"/>
    <x v="3"/>
    <n v="3"/>
    <n v="50"/>
    <n v="0"/>
    <n v="5"/>
    <s v="USB-C Hub"/>
    <x v="0"/>
    <n v="15"/>
    <n v="150"/>
    <n v="0"/>
    <n v="45"/>
    <n v="100"/>
  </r>
  <r>
    <x v="988"/>
    <d v="2026-09-18T00:00:00"/>
    <s v="P004"/>
    <x v="2"/>
    <n v="11"/>
    <n v="50"/>
    <n v="0.2"/>
    <n v="5"/>
    <s v="USB-C Hub"/>
    <x v="0"/>
    <n v="15"/>
    <n v="550"/>
    <n v="10"/>
    <n v="165"/>
    <n v="380"/>
  </r>
  <r>
    <x v="989"/>
    <d v="2026-12-02T00:00:00"/>
    <s v="P004"/>
    <x v="2"/>
    <n v="6"/>
    <n v="50"/>
    <n v="0.35"/>
    <n v="10"/>
    <s v="USB-C Hub"/>
    <x v="0"/>
    <n v="15"/>
    <n v="300"/>
    <n v="17.5"/>
    <n v="90"/>
    <n v="200"/>
  </r>
  <r>
    <x v="990"/>
    <d v="2026-04-30T00:00:00"/>
    <s v="P004"/>
    <x v="1"/>
    <n v="22"/>
    <n v="50"/>
    <n v="0"/>
    <n v="10"/>
    <s v="USB-C Hub"/>
    <x v="0"/>
    <n v="15"/>
    <n v="1100"/>
    <n v="0"/>
    <n v="330"/>
    <n v="760"/>
  </r>
  <r>
    <x v="991"/>
    <d v="2026-06-18T00:00:00"/>
    <s v="P004"/>
    <x v="0"/>
    <n v="5"/>
    <n v="50"/>
    <n v="0"/>
    <n v="5"/>
    <s v="USB-C Hub"/>
    <x v="0"/>
    <n v="15"/>
    <n v="250"/>
    <n v="0"/>
    <n v="75"/>
    <n v="170"/>
  </r>
  <r>
    <x v="992"/>
    <d v="2026-01-05T00:00:00"/>
    <s v="P004"/>
    <x v="2"/>
    <n v="16"/>
    <n v="50"/>
    <n v="0"/>
    <n v="15"/>
    <s v="USB-C Hub"/>
    <x v="0"/>
    <n v="15"/>
    <n v="800"/>
    <n v="0"/>
    <n v="240"/>
    <n v="545"/>
  </r>
  <r>
    <x v="993"/>
    <d v="2026-05-28T00:00:00"/>
    <s v="P004"/>
    <x v="2"/>
    <n v="2"/>
    <n v="50"/>
    <n v="0"/>
    <n v="15"/>
    <s v="USB-C Hub"/>
    <x v="0"/>
    <n v="15"/>
    <n v="100"/>
    <n v="0"/>
    <n v="30"/>
    <n v="55"/>
  </r>
  <r>
    <x v="994"/>
    <d v="2026-10-26T00:00:00"/>
    <s v="P004"/>
    <x v="1"/>
    <n v="5"/>
    <n v="50"/>
    <n v="0.35"/>
    <n v="10"/>
    <s v="USB-C Hub"/>
    <x v="0"/>
    <n v="15"/>
    <n v="250"/>
    <n v="17.5"/>
    <n v="75"/>
    <n v="165"/>
  </r>
  <r>
    <x v="995"/>
    <d v="2026-06-13T00:00:00"/>
    <s v="P004"/>
    <x v="2"/>
    <n v="22"/>
    <n v="50"/>
    <n v="0.1"/>
    <n v="10"/>
    <s v="USB-C Hub"/>
    <x v="0"/>
    <n v="15"/>
    <n v="1100"/>
    <n v="5"/>
    <n v="330"/>
    <n v="760"/>
  </r>
  <r>
    <x v="996"/>
    <d v="2026-06-20T00:00:00"/>
    <s v="P004"/>
    <x v="0"/>
    <n v="24"/>
    <n v="50"/>
    <n v="0.1"/>
    <n v="5"/>
    <s v="USB-C Hub"/>
    <x v="0"/>
    <n v="15"/>
    <n v="1200"/>
    <n v="5"/>
    <n v="360"/>
    <n v="835"/>
  </r>
  <r>
    <x v="997"/>
    <d v="2026-08-24T00:00:00"/>
    <s v="P004"/>
    <x v="0"/>
    <n v="24"/>
    <n v="50"/>
    <n v="0.2"/>
    <n v="20"/>
    <s v="USB-C Hub"/>
    <x v="0"/>
    <n v="15"/>
    <n v="1200"/>
    <n v="10"/>
    <n v="360"/>
    <n v="820"/>
  </r>
  <r>
    <x v="998"/>
    <d v="2026-07-25T00:00:00"/>
    <s v="P004"/>
    <x v="3"/>
    <n v="17"/>
    <n v="50"/>
    <n v="0.1"/>
    <n v="5"/>
    <s v="USB-C Hub"/>
    <x v="0"/>
    <n v="15"/>
    <n v="850"/>
    <n v="5"/>
    <n v="255"/>
    <n v="590"/>
  </r>
  <r>
    <x v="999"/>
    <d v="2026-07-05T00:00:00"/>
    <s v="P004"/>
    <x v="0"/>
    <n v="14"/>
    <n v="50"/>
    <n v="0.2"/>
    <n v="20"/>
    <s v="USB-C Hub"/>
    <x v="0"/>
    <n v="15"/>
    <n v="700"/>
    <n v="10"/>
    <n v="210"/>
    <n v="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E2308-103E-4823-979D-5B25B08696FC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Region">
  <location ref="A3:F8" firstHeaderRow="0" firstDataRow="1" firstDataCol="1"/>
  <pivotFields count="15">
    <pivotField dataField="1" showAll="0">
      <items count="1001">
        <item x="0"/>
        <item x="206"/>
        <item x="418"/>
        <item x="1"/>
        <item x="419"/>
        <item x="617"/>
        <item x="618"/>
        <item x="2"/>
        <item x="207"/>
        <item x="804"/>
        <item x="619"/>
        <item x="420"/>
        <item x="805"/>
        <item x="3"/>
        <item x="806"/>
        <item x="807"/>
        <item x="620"/>
        <item x="208"/>
        <item x="808"/>
        <item x="621"/>
        <item x="209"/>
        <item x="4"/>
        <item x="809"/>
        <item x="210"/>
        <item x="810"/>
        <item x="622"/>
        <item x="5"/>
        <item x="811"/>
        <item x="812"/>
        <item x="623"/>
        <item x="421"/>
        <item x="422"/>
        <item x="211"/>
        <item x="6"/>
        <item x="423"/>
        <item x="624"/>
        <item x="813"/>
        <item x="625"/>
        <item x="7"/>
        <item x="626"/>
        <item x="8"/>
        <item x="212"/>
        <item x="9"/>
        <item x="10"/>
        <item x="213"/>
        <item x="11"/>
        <item x="12"/>
        <item x="214"/>
        <item x="814"/>
        <item x="13"/>
        <item x="815"/>
        <item x="424"/>
        <item x="627"/>
        <item x="628"/>
        <item x="14"/>
        <item x="629"/>
        <item x="816"/>
        <item x="215"/>
        <item x="216"/>
        <item x="425"/>
        <item x="630"/>
        <item x="631"/>
        <item x="817"/>
        <item x="15"/>
        <item x="426"/>
        <item x="632"/>
        <item x="427"/>
        <item x="428"/>
        <item x="818"/>
        <item x="819"/>
        <item x="217"/>
        <item x="16"/>
        <item x="218"/>
        <item x="633"/>
        <item x="634"/>
        <item x="820"/>
        <item x="429"/>
        <item x="219"/>
        <item x="821"/>
        <item x="430"/>
        <item x="220"/>
        <item x="17"/>
        <item x="431"/>
        <item x="18"/>
        <item x="19"/>
        <item x="221"/>
        <item x="20"/>
        <item x="635"/>
        <item x="822"/>
        <item x="823"/>
        <item x="432"/>
        <item x="222"/>
        <item x="636"/>
        <item x="637"/>
        <item x="638"/>
        <item x="223"/>
        <item x="224"/>
        <item x="433"/>
        <item x="434"/>
        <item x="435"/>
        <item x="21"/>
        <item x="225"/>
        <item x="226"/>
        <item x="639"/>
        <item x="22"/>
        <item x="436"/>
        <item x="23"/>
        <item x="824"/>
        <item x="825"/>
        <item x="640"/>
        <item x="641"/>
        <item x="437"/>
        <item x="438"/>
        <item x="642"/>
        <item x="826"/>
        <item x="439"/>
        <item x="227"/>
        <item x="643"/>
        <item x="440"/>
        <item x="24"/>
        <item x="644"/>
        <item x="228"/>
        <item x="827"/>
        <item x="25"/>
        <item x="26"/>
        <item x="828"/>
        <item x="229"/>
        <item x="441"/>
        <item x="829"/>
        <item x="27"/>
        <item x="830"/>
        <item x="442"/>
        <item x="831"/>
        <item x="443"/>
        <item x="832"/>
        <item x="833"/>
        <item x="230"/>
        <item x="444"/>
        <item x="28"/>
        <item x="29"/>
        <item x="834"/>
        <item x="645"/>
        <item x="835"/>
        <item x="445"/>
        <item x="446"/>
        <item x="30"/>
        <item x="646"/>
        <item x="31"/>
        <item x="231"/>
        <item x="232"/>
        <item x="647"/>
        <item x="648"/>
        <item x="32"/>
        <item x="447"/>
        <item x="33"/>
        <item x="649"/>
        <item x="448"/>
        <item x="650"/>
        <item x="836"/>
        <item x="651"/>
        <item x="837"/>
        <item x="838"/>
        <item x="233"/>
        <item x="449"/>
        <item x="450"/>
        <item x="34"/>
        <item x="451"/>
        <item x="234"/>
        <item x="235"/>
        <item x="236"/>
        <item x="839"/>
        <item x="237"/>
        <item x="452"/>
        <item x="840"/>
        <item x="453"/>
        <item x="454"/>
        <item x="652"/>
        <item x="653"/>
        <item x="654"/>
        <item x="841"/>
        <item x="842"/>
        <item x="238"/>
        <item x="655"/>
        <item x="843"/>
        <item x="455"/>
        <item x="844"/>
        <item x="35"/>
        <item x="239"/>
        <item x="456"/>
        <item x="240"/>
        <item x="656"/>
        <item x="36"/>
        <item x="457"/>
        <item x="657"/>
        <item x="658"/>
        <item x="241"/>
        <item x="37"/>
        <item x="659"/>
        <item x="242"/>
        <item x="660"/>
        <item x="661"/>
        <item x="662"/>
        <item x="38"/>
        <item x="458"/>
        <item x="845"/>
        <item x="243"/>
        <item x="846"/>
        <item x="459"/>
        <item x="39"/>
        <item x="847"/>
        <item x="848"/>
        <item x="40"/>
        <item x="41"/>
        <item x="663"/>
        <item x="244"/>
        <item x="460"/>
        <item x="664"/>
        <item x="665"/>
        <item x="849"/>
        <item x="666"/>
        <item x="667"/>
        <item x="42"/>
        <item x="245"/>
        <item x="43"/>
        <item x="461"/>
        <item x="44"/>
        <item x="45"/>
        <item x="462"/>
        <item x="46"/>
        <item x="463"/>
        <item x="246"/>
        <item x="850"/>
        <item x="47"/>
        <item x="247"/>
        <item x="464"/>
        <item x="668"/>
        <item x="465"/>
        <item x="466"/>
        <item x="669"/>
        <item x="670"/>
        <item x="248"/>
        <item x="671"/>
        <item x="467"/>
        <item x="851"/>
        <item x="249"/>
        <item x="48"/>
        <item x="468"/>
        <item x="672"/>
        <item x="852"/>
        <item x="49"/>
        <item x="50"/>
        <item x="853"/>
        <item x="673"/>
        <item x="250"/>
        <item x="674"/>
        <item x="51"/>
        <item x="854"/>
        <item x="251"/>
        <item x="469"/>
        <item x="52"/>
        <item x="855"/>
        <item x="252"/>
        <item x="675"/>
        <item x="253"/>
        <item x="856"/>
        <item x="254"/>
        <item x="857"/>
        <item x="858"/>
        <item x="470"/>
        <item x="676"/>
        <item x="255"/>
        <item x="471"/>
        <item x="677"/>
        <item x="472"/>
        <item x="256"/>
        <item x="859"/>
        <item x="53"/>
        <item x="473"/>
        <item x="474"/>
        <item x="475"/>
        <item x="476"/>
        <item x="477"/>
        <item x="678"/>
        <item x="257"/>
        <item x="258"/>
        <item x="259"/>
        <item x="478"/>
        <item x="260"/>
        <item x="54"/>
        <item x="679"/>
        <item x="479"/>
        <item x="261"/>
        <item x="480"/>
        <item x="860"/>
        <item x="861"/>
        <item x="262"/>
        <item x="263"/>
        <item x="55"/>
        <item x="481"/>
        <item x="862"/>
        <item x="680"/>
        <item x="681"/>
        <item x="482"/>
        <item x="863"/>
        <item x="56"/>
        <item x="57"/>
        <item x="682"/>
        <item x="264"/>
        <item x="265"/>
        <item x="58"/>
        <item x="59"/>
        <item x="266"/>
        <item x="864"/>
        <item x="865"/>
        <item x="683"/>
        <item x="866"/>
        <item x="684"/>
        <item x="60"/>
        <item x="483"/>
        <item x="484"/>
        <item x="867"/>
        <item x="868"/>
        <item x="485"/>
        <item x="267"/>
        <item x="268"/>
        <item x="269"/>
        <item x="869"/>
        <item x="270"/>
        <item x="870"/>
        <item x="271"/>
        <item x="272"/>
        <item x="685"/>
        <item x="686"/>
        <item x="687"/>
        <item x="273"/>
        <item x="688"/>
        <item x="486"/>
        <item x="689"/>
        <item x="871"/>
        <item x="690"/>
        <item x="274"/>
        <item x="61"/>
        <item x="691"/>
        <item x="275"/>
        <item x="692"/>
        <item x="62"/>
        <item x="872"/>
        <item x="693"/>
        <item x="276"/>
        <item x="873"/>
        <item x="277"/>
        <item x="487"/>
        <item x="874"/>
        <item x="694"/>
        <item x="278"/>
        <item x="279"/>
        <item x="280"/>
        <item x="281"/>
        <item x="488"/>
        <item x="489"/>
        <item x="490"/>
        <item x="875"/>
        <item x="63"/>
        <item x="876"/>
        <item x="877"/>
        <item x="282"/>
        <item x="64"/>
        <item x="65"/>
        <item x="878"/>
        <item x="283"/>
        <item x="284"/>
        <item x="66"/>
        <item x="695"/>
        <item x="67"/>
        <item x="879"/>
        <item x="491"/>
        <item x="696"/>
        <item x="285"/>
        <item x="697"/>
        <item x="698"/>
        <item x="492"/>
        <item x="286"/>
        <item x="880"/>
        <item x="881"/>
        <item x="699"/>
        <item x="882"/>
        <item x="68"/>
        <item x="69"/>
        <item x="287"/>
        <item x="70"/>
        <item x="883"/>
        <item x="71"/>
        <item x="493"/>
        <item x="884"/>
        <item x="288"/>
        <item x="72"/>
        <item x="885"/>
        <item x="289"/>
        <item x="290"/>
        <item x="700"/>
        <item x="73"/>
        <item x="701"/>
        <item x="291"/>
        <item x="292"/>
        <item x="886"/>
        <item x="293"/>
        <item x="494"/>
        <item x="495"/>
        <item x="496"/>
        <item x="497"/>
        <item x="74"/>
        <item x="887"/>
        <item x="294"/>
        <item x="702"/>
        <item x="703"/>
        <item x="704"/>
        <item x="75"/>
        <item x="888"/>
        <item x="295"/>
        <item x="296"/>
        <item x="76"/>
        <item x="889"/>
        <item x="890"/>
        <item x="498"/>
        <item x="499"/>
        <item x="77"/>
        <item x="297"/>
        <item x="500"/>
        <item x="298"/>
        <item x="299"/>
        <item x="78"/>
        <item x="705"/>
        <item x="300"/>
        <item x="79"/>
        <item x="80"/>
        <item x="301"/>
        <item x="501"/>
        <item x="891"/>
        <item x="502"/>
        <item x="81"/>
        <item x="82"/>
        <item x="83"/>
        <item x="503"/>
        <item x="892"/>
        <item x="893"/>
        <item x="894"/>
        <item x="302"/>
        <item x="303"/>
        <item x="895"/>
        <item x="304"/>
        <item x="896"/>
        <item x="706"/>
        <item x="305"/>
        <item x="504"/>
        <item x="505"/>
        <item x="84"/>
        <item x="306"/>
        <item x="307"/>
        <item x="85"/>
        <item x="86"/>
        <item x="87"/>
        <item x="897"/>
        <item x="88"/>
        <item x="308"/>
        <item x="89"/>
        <item x="90"/>
        <item x="707"/>
        <item x="898"/>
        <item x="899"/>
        <item x="309"/>
        <item x="708"/>
        <item x="900"/>
        <item x="506"/>
        <item x="91"/>
        <item x="310"/>
        <item x="709"/>
        <item x="92"/>
        <item x="901"/>
        <item x="710"/>
        <item x="711"/>
        <item x="507"/>
        <item x="93"/>
        <item x="712"/>
        <item x="311"/>
        <item x="902"/>
        <item x="94"/>
        <item x="713"/>
        <item x="903"/>
        <item x="714"/>
        <item x="715"/>
        <item x="95"/>
        <item x="904"/>
        <item x="508"/>
        <item x="905"/>
        <item x="906"/>
        <item x="907"/>
        <item x="716"/>
        <item x="96"/>
        <item x="509"/>
        <item x="97"/>
        <item x="717"/>
        <item x="718"/>
        <item x="312"/>
        <item x="510"/>
        <item x="313"/>
        <item x="511"/>
        <item x="98"/>
        <item x="719"/>
        <item x="908"/>
        <item x="720"/>
        <item x="99"/>
        <item x="100"/>
        <item x="101"/>
        <item x="512"/>
        <item x="721"/>
        <item x="314"/>
        <item x="102"/>
        <item x="513"/>
        <item x="514"/>
        <item x="315"/>
        <item x="722"/>
        <item x="316"/>
        <item x="723"/>
        <item x="909"/>
        <item x="103"/>
        <item x="724"/>
        <item x="910"/>
        <item x="104"/>
        <item x="725"/>
        <item x="515"/>
        <item x="516"/>
        <item x="517"/>
        <item x="911"/>
        <item x="518"/>
        <item x="519"/>
        <item x="912"/>
        <item x="105"/>
        <item x="913"/>
        <item x="106"/>
        <item x="520"/>
        <item x="914"/>
        <item x="317"/>
        <item x="726"/>
        <item x="521"/>
        <item x="915"/>
        <item x="107"/>
        <item x="108"/>
        <item x="522"/>
        <item x="109"/>
        <item x="727"/>
        <item x="318"/>
        <item x="319"/>
        <item x="728"/>
        <item x="110"/>
        <item x="916"/>
        <item x="523"/>
        <item x="524"/>
        <item x="917"/>
        <item x="918"/>
        <item x="525"/>
        <item x="526"/>
        <item x="111"/>
        <item x="320"/>
        <item x="527"/>
        <item x="112"/>
        <item x="321"/>
        <item x="729"/>
        <item x="919"/>
        <item x="920"/>
        <item x="921"/>
        <item x="113"/>
        <item x="922"/>
        <item x="322"/>
        <item x="923"/>
        <item x="323"/>
        <item x="324"/>
        <item x="730"/>
        <item x="731"/>
        <item x="924"/>
        <item x="325"/>
        <item x="732"/>
        <item x="326"/>
        <item x="925"/>
        <item x="114"/>
        <item x="926"/>
        <item x="927"/>
        <item x="928"/>
        <item x="733"/>
        <item x="734"/>
        <item x="327"/>
        <item x="528"/>
        <item x="735"/>
        <item x="929"/>
        <item x="328"/>
        <item x="529"/>
        <item x="329"/>
        <item x="736"/>
        <item x="930"/>
        <item x="931"/>
        <item x="737"/>
        <item x="932"/>
        <item x="738"/>
        <item x="530"/>
        <item x="933"/>
        <item x="115"/>
        <item x="330"/>
        <item x="934"/>
        <item x="935"/>
        <item x="936"/>
        <item x="739"/>
        <item x="331"/>
        <item x="937"/>
        <item x="938"/>
        <item x="740"/>
        <item x="332"/>
        <item x="741"/>
        <item x="742"/>
        <item x="116"/>
        <item x="531"/>
        <item x="333"/>
        <item x="334"/>
        <item x="939"/>
        <item x="743"/>
        <item x="532"/>
        <item x="940"/>
        <item x="117"/>
        <item x="533"/>
        <item x="335"/>
        <item x="534"/>
        <item x="336"/>
        <item x="337"/>
        <item x="941"/>
        <item x="744"/>
        <item x="745"/>
        <item x="118"/>
        <item x="338"/>
        <item x="339"/>
        <item x="535"/>
        <item x="340"/>
        <item x="536"/>
        <item x="537"/>
        <item x="538"/>
        <item x="539"/>
        <item x="540"/>
        <item x="541"/>
        <item x="542"/>
        <item x="746"/>
        <item x="119"/>
        <item x="543"/>
        <item x="942"/>
        <item x="120"/>
        <item x="341"/>
        <item x="121"/>
        <item x="747"/>
        <item x="943"/>
        <item x="544"/>
        <item x="122"/>
        <item x="123"/>
        <item x="124"/>
        <item x="748"/>
        <item x="944"/>
        <item x="749"/>
        <item x="342"/>
        <item x="945"/>
        <item x="125"/>
        <item x="545"/>
        <item x="750"/>
        <item x="946"/>
        <item x="947"/>
        <item x="948"/>
        <item x="949"/>
        <item x="126"/>
        <item x="343"/>
        <item x="546"/>
        <item x="751"/>
        <item x="752"/>
        <item x="547"/>
        <item x="127"/>
        <item x="950"/>
        <item x="128"/>
        <item x="344"/>
        <item x="129"/>
        <item x="753"/>
        <item x="548"/>
        <item x="549"/>
        <item x="550"/>
        <item x="345"/>
        <item x="551"/>
        <item x="130"/>
        <item x="131"/>
        <item x="552"/>
        <item x="951"/>
        <item x="754"/>
        <item x="952"/>
        <item x="553"/>
        <item x="554"/>
        <item x="346"/>
        <item x="755"/>
        <item x="347"/>
        <item x="132"/>
        <item x="555"/>
        <item x="756"/>
        <item x="133"/>
        <item x="556"/>
        <item x="348"/>
        <item x="557"/>
        <item x="558"/>
        <item x="349"/>
        <item x="953"/>
        <item x="559"/>
        <item x="350"/>
        <item x="134"/>
        <item x="351"/>
        <item x="560"/>
        <item x="954"/>
        <item x="352"/>
        <item x="135"/>
        <item x="561"/>
        <item x="955"/>
        <item x="136"/>
        <item x="353"/>
        <item x="137"/>
        <item x="138"/>
        <item x="956"/>
        <item x="757"/>
        <item x="758"/>
        <item x="957"/>
        <item x="354"/>
        <item x="759"/>
        <item x="355"/>
        <item x="139"/>
        <item x="140"/>
        <item x="562"/>
        <item x="958"/>
        <item x="356"/>
        <item x="357"/>
        <item x="141"/>
        <item x="959"/>
        <item x="358"/>
        <item x="760"/>
        <item x="960"/>
        <item x="359"/>
        <item x="142"/>
        <item x="563"/>
        <item x="761"/>
        <item x="360"/>
        <item x="564"/>
        <item x="361"/>
        <item x="762"/>
        <item x="565"/>
        <item x="362"/>
        <item x="143"/>
        <item x="363"/>
        <item x="566"/>
        <item x="763"/>
        <item x="567"/>
        <item x="364"/>
        <item x="764"/>
        <item x="365"/>
        <item x="144"/>
        <item x="366"/>
        <item x="568"/>
        <item x="145"/>
        <item x="367"/>
        <item x="765"/>
        <item x="368"/>
        <item x="369"/>
        <item x="370"/>
        <item x="766"/>
        <item x="569"/>
        <item x="767"/>
        <item x="371"/>
        <item x="961"/>
        <item x="570"/>
        <item x="372"/>
        <item x="768"/>
        <item x="769"/>
        <item x="373"/>
        <item x="146"/>
        <item x="571"/>
        <item x="147"/>
        <item x="148"/>
        <item x="962"/>
        <item x="572"/>
        <item x="573"/>
        <item x="374"/>
        <item x="149"/>
        <item x="375"/>
        <item x="963"/>
        <item x="770"/>
        <item x="964"/>
        <item x="150"/>
        <item x="574"/>
        <item x="376"/>
        <item x="771"/>
        <item x="965"/>
        <item x="151"/>
        <item x="966"/>
        <item x="772"/>
        <item x="152"/>
        <item x="575"/>
        <item x="377"/>
        <item x="576"/>
        <item x="153"/>
        <item x="154"/>
        <item x="577"/>
        <item x="155"/>
        <item x="578"/>
        <item x="378"/>
        <item x="773"/>
        <item x="774"/>
        <item x="775"/>
        <item x="776"/>
        <item x="579"/>
        <item x="156"/>
        <item x="777"/>
        <item x="157"/>
        <item x="158"/>
        <item x="778"/>
        <item x="159"/>
        <item x="160"/>
        <item x="161"/>
        <item x="162"/>
        <item x="379"/>
        <item x="580"/>
        <item x="967"/>
        <item x="163"/>
        <item x="164"/>
        <item x="165"/>
        <item x="166"/>
        <item x="380"/>
        <item x="779"/>
        <item x="968"/>
        <item x="581"/>
        <item x="167"/>
        <item x="381"/>
        <item x="969"/>
        <item x="382"/>
        <item x="582"/>
        <item x="168"/>
        <item x="583"/>
        <item x="169"/>
        <item x="383"/>
        <item x="170"/>
        <item x="970"/>
        <item x="971"/>
        <item x="972"/>
        <item x="584"/>
        <item x="973"/>
        <item x="384"/>
        <item x="171"/>
        <item x="780"/>
        <item x="781"/>
        <item x="974"/>
        <item x="385"/>
        <item x="782"/>
        <item x="386"/>
        <item x="172"/>
        <item x="173"/>
        <item x="975"/>
        <item x="783"/>
        <item x="585"/>
        <item x="174"/>
        <item x="387"/>
        <item x="388"/>
        <item x="784"/>
        <item x="785"/>
        <item x="175"/>
        <item x="389"/>
        <item x="586"/>
        <item x="176"/>
        <item x="390"/>
        <item x="786"/>
        <item x="587"/>
        <item x="177"/>
        <item x="178"/>
        <item x="179"/>
        <item x="787"/>
        <item x="180"/>
        <item x="788"/>
        <item x="391"/>
        <item x="976"/>
        <item x="977"/>
        <item x="181"/>
        <item x="588"/>
        <item x="589"/>
        <item x="978"/>
        <item x="979"/>
        <item x="182"/>
        <item x="980"/>
        <item x="981"/>
        <item x="590"/>
        <item x="789"/>
        <item x="591"/>
        <item x="183"/>
        <item x="790"/>
        <item x="791"/>
        <item x="392"/>
        <item x="184"/>
        <item x="393"/>
        <item x="394"/>
        <item x="395"/>
        <item x="396"/>
        <item x="397"/>
        <item x="398"/>
        <item x="185"/>
        <item x="592"/>
        <item x="593"/>
        <item x="399"/>
        <item x="400"/>
        <item x="186"/>
        <item x="792"/>
        <item x="401"/>
        <item x="982"/>
        <item x="187"/>
        <item x="594"/>
        <item x="402"/>
        <item x="188"/>
        <item x="595"/>
        <item x="596"/>
        <item x="793"/>
        <item x="189"/>
        <item x="190"/>
        <item x="597"/>
        <item x="598"/>
        <item x="983"/>
        <item x="599"/>
        <item x="984"/>
        <item x="403"/>
        <item x="404"/>
        <item x="191"/>
        <item x="192"/>
        <item x="600"/>
        <item x="794"/>
        <item x="601"/>
        <item x="405"/>
        <item x="602"/>
        <item x="406"/>
        <item x="407"/>
        <item x="795"/>
        <item x="408"/>
        <item x="603"/>
        <item x="604"/>
        <item x="605"/>
        <item x="796"/>
        <item x="606"/>
        <item x="985"/>
        <item x="797"/>
        <item x="409"/>
        <item x="410"/>
        <item x="607"/>
        <item x="798"/>
        <item x="608"/>
        <item x="411"/>
        <item x="799"/>
        <item x="986"/>
        <item x="412"/>
        <item x="609"/>
        <item x="800"/>
        <item x="610"/>
        <item x="987"/>
        <item x="193"/>
        <item x="988"/>
        <item x="611"/>
        <item x="194"/>
        <item x="413"/>
        <item x="612"/>
        <item x="414"/>
        <item x="195"/>
        <item x="196"/>
        <item x="197"/>
        <item x="989"/>
        <item x="990"/>
        <item x="991"/>
        <item x="198"/>
        <item x="415"/>
        <item x="199"/>
        <item x="992"/>
        <item x="993"/>
        <item x="200"/>
        <item x="994"/>
        <item x="613"/>
        <item x="801"/>
        <item x="201"/>
        <item x="995"/>
        <item x="996"/>
        <item x="802"/>
        <item x="997"/>
        <item x="202"/>
        <item x="614"/>
        <item x="615"/>
        <item x="998"/>
        <item x="616"/>
        <item x="803"/>
        <item x="416"/>
        <item x="999"/>
        <item x="417"/>
        <item x="203"/>
        <item x="204"/>
        <item x="205"/>
        <item t="default"/>
      </items>
    </pivotField>
    <pivotField numFmtId="14"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Profit" fld="14" baseField="0" baseItem="0"/>
    <dataField name="Total Revenue" fld="11" baseField="0" baseItem="0"/>
    <dataField name="Avg. Discount" fld="12" subtotal="average" baseField="3" baseItem="1"/>
    <dataField name="Total Orders" fld="0" subtotal="count" baseField="0" baseItem="0"/>
    <dataField name="Shipping Cost" fld="7" baseField="0" baseItem="0"/>
  </dataFields>
  <formats count="11">
    <format dxfId="76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75">
      <pivotArea collapsedLevelsAreSubtotals="1" fieldPosition="0">
        <references count="2">
          <reference field="4294967294" count="2" selected="0">
            <x v="0"/>
            <x v="1"/>
          </reference>
          <reference field="3" count="0"/>
        </references>
      </pivotArea>
    </format>
    <format dxfId="72">
      <pivotArea field="3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0">
      <pivotArea dataOnly="0" labelOnly="1" grandRow="1" outline="0" fieldPosition="0"/>
    </format>
    <format dxfId="68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5">
      <pivotArea field="3" grandRow="1" outline="0" collapsedLevelsAreSubtotals="1" axis="axisRow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63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">
      <pivotArea field="3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1D633-77F3-43F8-9C13-A912CE895A7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5">
    <pivotField dataField="1" showAll="0">
      <items count="1001">
        <item x="0"/>
        <item x="206"/>
        <item x="418"/>
        <item x="1"/>
        <item x="419"/>
        <item x="617"/>
        <item x="618"/>
        <item x="2"/>
        <item x="207"/>
        <item x="804"/>
        <item x="619"/>
        <item x="420"/>
        <item x="805"/>
        <item x="3"/>
        <item x="806"/>
        <item x="807"/>
        <item x="620"/>
        <item x="208"/>
        <item x="808"/>
        <item x="621"/>
        <item x="209"/>
        <item x="4"/>
        <item x="809"/>
        <item x="210"/>
        <item x="810"/>
        <item x="622"/>
        <item x="5"/>
        <item x="811"/>
        <item x="812"/>
        <item x="623"/>
        <item x="421"/>
        <item x="422"/>
        <item x="211"/>
        <item x="6"/>
        <item x="423"/>
        <item x="624"/>
        <item x="813"/>
        <item x="625"/>
        <item x="7"/>
        <item x="626"/>
        <item x="8"/>
        <item x="212"/>
        <item x="9"/>
        <item x="10"/>
        <item x="213"/>
        <item x="11"/>
        <item x="12"/>
        <item x="214"/>
        <item x="814"/>
        <item x="13"/>
        <item x="815"/>
        <item x="424"/>
        <item x="627"/>
        <item x="628"/>
        <item x="14"/>
        <item x="629"/>
        <item x="816"/>
        <item x="215"/>
        <item x="216"/>
        <item x="425"/>
        <item x="630"/>
        <item x="631"/>
        <item x="817"/>
        <item x="15"/>
        <item x="426"/>
        <item x="632"/>
        <item x="427"/>
        <item x="428"/>
        <item x="818"/>
        <item x="819"/>
        <item x="217"/>
        <item x="16"/>
        <item x="218"/>
        <item x="633"/>
        <item x="634"/>
        <item x="820"/>
        <item x="429"/>
        <item x="219"/>
        <item x="821"/>
        <item x="430"/>
        <item x="220"/>
        <item x="17"/>
        <item x="431"/>
        <item x="18"/>
        <item x="19"/>
        <item x="221"/>
        <item x="20"/>
        <item x="635"/>
        <item x="822"/>
        <item x="823"/>
        <item x="432"/>
        <item x="222"/>
        <item x="636"/>
        <item x="637"/>
        <item x="638"/>
        <item x="223"/>
        <item x="224"/>
        <item x="433"/>
        <item x="434"/>
        <item x="435"/>
        <item x="21"/>
        <item x="225"/>
        <item x="226"/>
        <item x="639"/>
        <item x="22"/>
        <item x="436"/>
        <item x="23"/>
        <item x="824"/>
        <item x="825"/>
        <item x="640"/>
        <item x="641"/>
        <item x="437"/>
        <item x="438"/>
        <item x="642"/>
        <item x="826"/>
        <item x="439"/>
        <item x="227"/>
        <item x="643"/>
        <item x="440"/>
        <item x="24"/>
        <item x="644"/>
        <item x="228"/>
        <item x="827"/>
        <item x="25"/>
        <item x="26"/>
        <item x="828"/>
        <item x="229"/>
        <item x="441"/>
        <item x="829"/>
        <item x="27"/>
        <item x="830"/>
        <item x="442"/>
        <item x="831"/>
        <item x="443"/>
        <item x="832"/>
        <item x="833"/>
        <item x="230"/>
        <item x="444"/>
        <item x="28"/>
        <item x="29"/>
        <item x="834"/>
        <item x="645"/>
        <item x="835"/>
        <item x="445"/>
        <item x="446"/>
        <item x="30"/>
        <item x="646"/>
        <item x="31"/>
        <item x="231"/>
        <item x="232"/>
        <item x="647"/>
        <item x="648"/>
        <item x="32"/>
        <item x="447"/>
        <item x="33"/>
        <item x="649"/>
        <item x="448"/>
        <item x="650"/>
        <item x="836"/>
        <item x="651"/>
        <item x="837"/>
        <item x="838"/>
        <item x="233"/>
        <item x="449"/>
        <item x="450"/>
        <item x="34"/>
        <item x="451"/>
        <item x="234"/>
        <item x="235"/>
        <item x="236"/>
        <item x="839"/>
        <item x="237"/>
        <item x="452"/>
        <item x="840"/>
        <item x="453"/>
        <item x="454"/>
        <item x="652"/>
        <item x="653"/>
        <item x="654"/>
        <item x="841"/>
        <item x="842"/>
        <item x="238"/>
        <item x="655"/>
        <item x="843"/>
        <item x="455"/>
        <item x="844"/>
        <item x="35"/>
        <item x="239"/>
        <item x="456"/>
        <item x="240"/>
        <item x="656"/>
        <item x="36"/>
        <item x="457"/>
        <item x="657"/>
        <item x="658"/>
        <item x="241"/>
        <item x="37"/>
        <item x="659"/>
        <item x="242"/>
        <item x="660"/>
        <item x="661"/>
        <item x="662"/>
        <item x="38"/>
        <item x="458"/>
        <item x="845"/>
        <item x="243"/>
        <item x="846"/>
        <item x="459"/>
        <item x="39"/>
        <item x="847"/>
        <item x="848"/>
        <item x="40"/>
        <item x="41"/>
        <item x="663"/>
        <item x="244"/>
        <item x="460"/>
        <item x="664"/>
        <item x="665"/>
        <item x="849"/>
        <item x="666"/>
        <item x="667"/>
        <item x="42"/>
        <item x="245"/>
        <item x="43"/>
        <item x="461"/>
        <item x="44"/>
        <item x="45"/>
        <item x="462"/>
        <item x="46"/>
        <item x="463"/>
        <item x="246"/>
        <item x="850"/>
        <item x="47"/>
        <item x="247"/>
        <item x="464"/>
        <item x="668"/>
        <item x="465"/>
        <item x="466"/>
        <item x="669"/>
        <item x="670"/>
        <item x="248"/>
        <item x="671"/>
        <item x="467"/>
        <item x="851"/>
        <item x="249"/>
        <item x="48"/>
        <item x="468"/>
        <item x="672"/>
        <item x="852"/>
        <item x="49"/>
        <item x="50"/>
        <item x="853"/>
        <item x="673"/>
        <item x="250"/>
        <item x="674"/>
        <item x="51"/>
        <item x="854"/>
        <item x="251"/>
        <item x="469"/>
        <item x="52"/>
        <item x="855"/>
        <item x="252"/>
        <item x="675"/>
        <item x="253"/>
        <item x="856"/>
        <item x="254"/>
        <item x="857"/>
        <item x="858"/>
        <item x="470"/>
        <item x="676"/>
        <item x="255"/>
        <item x="471"/>
        <item x="677"/>
        <item x="472"/>
        <item x="256"/>
        <item x="859"/>
        <item x="53"/>
        <item x="473"/>
        <item x="474"/>
        <item x="475"/>
        <item x="476"/>
        <item x="477"/>
        <item x="678"/>
        <item x="257"/>
        <item x="258"/>
        <item x="259"/>
        <item x="478"/>
        <item x="260"/>
        <item x="54"/>
        <item x="679"/>
        <item x="479"/>
        <item x="261"/>
        <item x="480"/>
        <item x="860"/>
        <item x="861"/>
        <item x="262"/>
        <item x="263"/>
        <item x="55"/>
        <item x="481"/>
        <item x="862"/>
        <item x="680"/>
        <item x="681"/>
        <item x="482"/>
        <item x="863"/>
        <item x="56"/>
        <item x="57"/>
        <item x="682"/>
        <item x="264"/>
        <item x="265"/>
        <item x="58"/>
        <item x="59"/>
        <item x="266"/>
        <item x="864"/>
        <item x="865"/>
        <item x="683"/>
        <item x="866"/>
        <item x="684"/>
        <item x="60"/>
        <item x="483"/>
        <item x="484"/>
        <item x="867"/>
        <item x="868"/>
        <item x="485"/>
        <item x="267"/>
        <item x="268"/>
        <item x="269"/>
        <item x="869"/>
        <item x="270"/>
        <item x="870"/>
        <item x="271"/>
        <item x="272"/>
        <item x="685"/>
        <item x="686"/>
        <item x="687"/>
        <item x="273"/>
        <item x="688"/>
        <item x="486"/>
        <item x="689"/>
        <item x="871"/>
        <item x="690"/>
        <item x="274"/>
        <item x="61"/>
        <item x="691"/>
        <item x="275"/>
        <item x="692"/>
        <item x="62"/>
        <item x="872"/>
        <item x="693"/>
        <item x="276"/>
        <item x="873"/>
        <item x="277"/>
        <item x="487"/>
        <item x="874"/>
        <item x="694"/>
        <item x="278"/>
        <item x="279"/>
        <item x="280"/>
        <item x="281"/>
        <item x="488"/>
        <item x="489"/>
        <item x="490"/>
        <item x="875"/>
        <item x="63"/>
        <item x="876"/>
        <item x="877"/>
        <item x="282"/>
        <item x="64"/>
        <item x="65"/>
        <item x="878"/>
        <item x="283"/>
        <item x="284"/>
        <item x="66"/>
        <item x="695"/>
        <item x="67"/>
        <item x="879"/>
        <item x="491"/>
        <item x="696"/>
        <item x="285"/>
        <item x="697"/>
        <item x="698"/>
        <item x="492"/>
        <item x="286"/>
        <item x="880"/>
        <item x="881"/>
        <item x="699"/>
        <item x="882"/>
        <item x="68"/>
        <item x="69"/>
        <item x="287"/>
        <item x="70"/>
        <item x="883"/>
        <item x="71"/>
        <item x="493"/>
        <item x="884"/>
        <item x="288"/>
        <item x="72"/>
        <item x="885"/>
        <item x="289"/>
        <item x="290"/>
        <item x="700"/>
        <item x="73"/>
        <item x="701"/>
        <item x="291"/>
        <item x="292"/>
        <item x="886"/>
        <item x="293"/>
        <item x="494"/>
        <item x="495"/>
        <item x="496"/>
        <item x="497"/>
        <item x="74"/>
        <item x="887"/>
        <item x="294"/>
        <item x="702"/>
        <item x="703"/>
        <item x="704"/>
        <item x="75"/>
        <item x="888"/>
        <item x="295"/>
        <item x="296"/>
        <item x="76"/>
        <item x="889"/>
        <item x="890"/>
        <item x="498"/>
        <item x="499"/>
        <item x="77"/>
        <item x="297"/>
        <item x="500"/>
        <item x="298"/>
        <item x="299"/>
        <item x="78"/>
        <item x="705"/>
        <item x="300"/>
        <item x="79"/>
        <item x="80"/>
        <item x="301"/>
        <item x="501"/>
        <item x="891"/>
        <item x="502"/>
        <item x="81"/>
        <item x="82"/>
        <item x="83"/>
        <item x="503"/>
        <item x="892"/>
        <item x="893"/>
        <item x="894"/>
        <item x="302"/>
        <item x="303"/>
        <item x="895"/>
        <item x="304"/>
        <item x="896"/>
        <item x="706"/>
        <item x="305"/>
        <item x="504"/>
        <item x="505"/>
        <item x="84"/>
        <item x="306"/>
        <item x="307"/>
        <item x="85"/>
        <item x="86"/>
        <item x="87"/>
        <item x="897"/>
        <item x="88"/>
        <item x="308"/>
        <item x="89"/>
        <item x="90"/>
        <item x="707"/>
        <item x="898"/>
        <item x="899"/>
        <item x="309"/>
        <item x="708"/>
        <item x="900"/>
        <item x="506"/>
        <item x="91"/>
        <item x="310"/>
        <item x="709"/>
        <item x="92"/>
        <item x="901"/>
        <item x="710"/>
        <item x="711"/>
        <item x="507"/>
        <item x="93"/>
        <item x="712"/>
        <item x="311"/>
        <item x="902"/>
        <item x="94"/>
        <item x="713"/>
        <item x="903"/>
        <item x="714"/>
        <item x="715"/>
        <item x="95"/>
        <item x="904"/>
        <item x="508"/>
        <item x="905"/>
        <item x="906"/>
        <item x="907"/>
        <item x="716"/>
        <item x="96"/>
        <item x="509"/>
        <item x="97"/>
        <item x="717"/>
        <item x="718"/>
        <item x="312"/>
        <item x="510"/>
        <item x="313"/>
        <item x="511"/>
        <item x="98"/>
        <item x="719"/>
        <item x="908"/>
        <item x="720"/>
        <item x="99"/>
        <item x="100"/>
        <item x="101"/>
        <item x="512"/>
        <item x="721"/>
        <item x="314"/>
        <item x="102"/>
        <item x="513"/>
        <item x="514"/>
        <item x="315"/>
        <item x="722"/>
        <item x="316"/>
        <item x="723"/>
        <item x="909"/>
        <item x="103"/>
        <item x="724"/>
        <item x="910"/>
        <item x="104"/>
        <item x="725"/>
        <item x="515"/>
        <item x="516"/>
        <item x="517"/>
        <item x="911"/>
        <item x="518"/>
        <item x="519"/>
        <item x="912"/>
        <item x="105"/>
        <item x="913"/>
        <item x="106"/>
        <item x="520"/>
        <item x="914"/>
        <item x="317"/>
        <item x="726"/>
        <item x="521"/>
        <item x="915"/>
        <item x="107"/>
        <item x="108"/>
        <item x="522"/>
        <item x="109"/>
        <item x="727"/>
        <item x="318"/>
        <item x="319"/>
        <item x="728"/>
        <item x="110"/>
        <item x="916"/>
        <item x="523"/>
        <item x="524"/>
        <item x="917"/>
        <item x="918"/>
        <item x="525"/>
        <item x="526"/>
        <item x="111"/>
        <item x="320"/>
        <item x="527"/>
        <item x="112"/>
        <item x="321"/>
        <item x="729"/>
        <item x="919"/>
        <item x="920"/>
        <item x="921"/>
        <item x="113"/>
        <item x="922"/>
        <item x="322"/>
        <item x="923"/>
        <item x="323"/>
        <item x="324"/>
        <item x="730"/>
        <item x="731"/>
        <item x="924"/>
        <item x="325"/>
        <item x="732"/>
        <item x="326"/>
        <item x="925"/>
        <item x="114"/>
        <item x="926"/>
        <item x="927"/>
        <item x="928"/>
        <item x="733"/>
        <item x="734"/>
        <item x="327"/>
        <item x="528"/>
        <item x="735"/>
        <item x="929"/>
        <item x="328"/>
        <item x="529"/>
        <item x="329"/>
        <item x="736"/>
        <item x="930"/>
        <item x="931"/>
        <item x="737"/>
        <item x="932"/>
        <item x="738"/>
        <item x="530"/>
        <item x="933"/>
        <item x="115"/>
        <item x="330"/>
        <item x="934"/>
        <item x="935"/>
        <item x="936"/>
        <item x="739"/>
        <item x="331"/>
        <item x="937"/>
        <item x="938"/>
        <item x="740"/>
        <item x="332"/>
        <item x="741"/>
        <item x="742"/>
        <item x="116"/>
        <item x="531"/>
        <item x="333"/>
        <item x="334"/>
        <item x="939"/>
        <item x="743"/>
        <item x="532"/>
        <item x="940"/>
        <item x="117"/>
        <item x="533"/>
        <item x="335"/>
        <item x="534"/>
        <item x="336"/>
        <item x="337"/>
        <item x="941"/>
        <item x="744"/>
        <item x="745"/>
        <item x="118"/>
        <item x="338"/>
        <item x="339"/>
        <item x="535"/>
        <item x="340"/>
        <item x="536"/>
        <item x="537"/>
        <item x="538"/>
        <item x="539"/>
        <item x="540"/>
        <item x="541"/>
        <item x="542"/>
        <item x="746"/>
        <item x="119"/>
        <item x="543"/>
        <item x="942"/>
        <item x="120"/>
        <item x="341"/>
        <item x="121"/>
        <item x="747"/>
        <item x="943"/>
        <item x="544"/>
        <item x="122"/>
        <item x="123"/>
        <item x="124"/>
        <item x="748"/>
        <item x="944"/>
        <item x="749"/>
        <item x="342"/>
        <item x="945"/>
        <item x="125"/>
        <item x="545"/>
        <item x="750"/>
        <item x="946"/>
        <item x="947"/>
        <item x="948"/>
        <item x="949"/>
        <item x="126"/>
        <item x="343"/>
        <item x="546"/>
        <item x="751"/>
        <item x="752"/>
        <item x="547"/>
        <item x="127"/>
        <item x="950"/>
        <item x="128"/>
        <item x="344"/>
        <item x="129"/>
        <item x="753"/>
        <item x="548"/>
        <item x="549"/>
        <item x="550"/>
        <item x="345"/>
        <item x="551"/>
        <item x="130"/>
        <item x="131"/>
        <item x="552"/>
        <item x="951"/>
        <item x="754"/>
        <item x="952"/>
        <item x="553"/>
        <item x="554"/>
        <item x="346"/>
        <item x="755"/>
        <item x="347"/>
        <item x="132"/>
        <item x="555"/>
        <item x="756"/>
        <item x="133"/>
        <item x="556"/>
        <item x="348"/>
        <item x="557"/>
        <item x="558"/>
        <item x="349"/>
        <item x="953"/>
        <item x="559"/>
        <item x="350"/>
        <item x="134"/>
        <item x="351"/>
        <item x="560"/>
        <item x="954"/>
        <item x="352"/>
        <item x="135"/>
        <item x="561"/>
        <item x="955"/>
        <item x="136"/>
        <item x="353"/>
        <item x="137"/>
        <item x="138"/>
        <item x="956"/>
        <item x="757"/>
        <item x="758"/>
        <item x="957"/>
        <item x="354"/>
        <item x="759"/>
        <item x="355"/>
        <item x="139"/>
        <item x="140"/>
        <item x="562"/>
        <item x="958"/>
        <item x="356"/>
        <item x="357"/>
        <item x="141"/>
        <item x="959"/>
        <item x="358"/>
        <item x="760"/>
        <item x="960"/>
        <item x="359"/>
        <item x="142"/>
        <item x="563"/>
        <item x="761"/>
        <item x="360"/>
        <item x="564"/>
        <item x="361"/>
        <item x="762"/>
        <item x="565"/>
        <item x="362"/>
        <item x="143"/>
        <item x="363"/>
        <item x="566"/>
        <item x="763"/>
        <item x="567"/>
        <item x="364"/>
        <item x="764"/>
        <item x="365"/>
        <item x="144"/>
        <item x="366"/>
        <item x="568"/>
        <item x="145"/>
        <item x="367"/>
        <item x="765"/>
        <item x="368"/>
        <item x="369"/>
        <item x="370"/>
        <item x="766"/>
        <item x="569"/>
        <item x="767"/>
        <item x="371"/>
        <item x="961"/>
        <item x="570"/>
        <item x="372"/>
        <item x="768"/>
        <item x="769"/>
        <item x="373"/>
        <item x="146"/>
        <item x="571"/>
        <item x="147"/>
        <item x="148"/>
        <item x="962"/>
        <item x="572"/>
        <item x="573"/>
        <item x="374"/>
        <item x="149"/>
        <item x="375"/>
        <item x="963"/>
        <item x="770"/>
        <item x="964"/>
        <item x="150"/>
        <item x="574"/>
        <item x="376"/>
        <item x="771"/>
        <item x="965"/>
        <item x="151"/>
        <item x="966"/>
        <item x="772"/>
        <item x="152"/>
        <item x="575"/>
        <item x="377"/>
        <item x="576"/>
        <item x="153"/>
        <item x="154"/>
        <item x="577"/>
        <item x="155"/>
        <item x="578"/>
        <item x="378"/>
        <item x="773"/>
        <item x="774"/>
        <item x="775"/>
        <item x="776"/>
        <item x="579"/>
        <item x="156"/>
        <item x="777"/>
        <item x="157"/>
        <item x="158"/>
        <item x="778"/>
        <item x="159"/>
        <item x="160"/>
        <item x="161"/>
        <item x="162"/>
        <item x="379"/>
        <item x="580"/>
        <item x="967"/>
        <item x="163"/>
        <item x="164"/>
        <item x="165"/>
        <item x="166"/>
        <item x="380"/>
        <item x="779"/>
        <item x="968"/>
        <item x="581"/>
        <item x="167"/>
        <item x="381"/>
        <item x="969"/>
        <item x="382"/>
        <item x="582"/>
        <item x="168"/>
        <item x="583"/>
        <item x="169"/>
        <item x="383"/>
        <item x="170"/>
        <item x="970"/>
        <item x="971"/>
        <item x="972"/>
        <item x="584"/>
        <item x="973"/>
        <item x="384"/>
        <item x="171"/>
        <item x="780"/>
        <item x="781"/>
        <item x="974"/>
        <item x="385"/>
        <item x="782"/>
        <item x="386"/>
        <item x="172"/>
        <item x="173"/>
        <item x="975"/>
        <item x="783"/>
        <item x="585"/>
        <item x="174"/>
        <item x="387"/>
        <item x="388"/>
        <item x="784"/>
        <item x="785"/>
        <item x="175"/>
        <item x="389"/>
        <item x="586"/>
        <item x="176"/>
        <item x="390"/>
        <item x="786"/>
        <item x="587"/>
        <item x="177"/>
        <item x="178"/>
        <item x="179"/>
        <item x="787"/>
        <item x="180"/>
        <item x="788"/>
        <item x="391"/>
        <item x="976"/>
        <item x="977"/>
        <item x="181"/>
        <item x="588"/>
        <item x="589"/>
        <item x="978"/>
        <item x="979"/>
        <item x="182"/>
        <item x="980"/>
        <item x="981"/>
        <item x="590"/>
        <item x="789"/>
        <item x="591"/>
        <item x="183"/>
        <item x="790"/>
        <item x="791"/>
        <item x="392"/>
        <item x="184"/>
        <item x="393"/>
        <item x="394"/>
        <item x="395"/>
        <item x="396"/>
        <item x="397"/>
        <item x="398"/>
        <item x="185"/>
        <item x="592"/>
        <item x="593"/>
        <item x="399"/>
        <item x="400"/>
        <item x="186"/>
        <item x="792"/>
        <item x="401"/>
        <item x="982"/>
        <item x="187"/>
        <item x="594"/>
        <item x="402"/>
        <item x="188"/>
        <item x="595"/>
        <item x="596"/>
        <item x="793"/>
        <item x="189"/>
        <item x="190"/>
        <item x="597"/>
        <item x="598"/>
        <item x="983"/>
        <item x="599"/>
        <item x="984"/>
        <item x="403"/>
        <item x="404"/>
        <item x="191"/>
        <item x="192"/>
        <item x="600"/>
        <item x="794"/>
        <item x="601"/>
        <item x="405"/>
        <item x="602"/>
        <item x="406"/>
        <item x="407"/>
        <item x="795"/>
        <item x="408"/>
        <item x="603"/>
        <item x="604"/>
        <item x="605"/>
        <item x="796"/>
        <item x="606"/>
        <item x="985"/>
        <item x="797"/>
        <item x="409"/>
        <item x="410"/>
        <item x="607"/>
        <item x="798"/>
        <item x="608"/>
        <item x="411"/>
        <item x="799"/>
        <item x="986"/>
        <item x="412"/>
        <item x="609"/>
        <item x="800"/>
        <item x="610"/>
        <item x="987"/>
        <item x="193"/>
        <item x="988"/>
        <item x="611"/>
        <item x="194"/>
        <item x="413"/>
        <item x="612"/>
        <item x="414"/>
        <item x="195"/>
        <item x="196"/>
        <item x="197"/>
        <item x="989"/>
        <item x="990"/>
        <item x="991"/>
        <item x="198"/>
        <item x="415"/>
        <item x="199"/>
        <item x="992"/>
        <item x="993"/>
        <item x="200"/>
        <item x="994"/>
        <item x="613"/>
        <item x="801"/>
        <item x="201"/>
        <item x="995"/>
        <item x="996"/>
        <item x="802"/>
        <item x="997"/>
        <item x="202"/>
        <item x="614"/>
        <item x="615"/>
        <item x="998"/>
        <item x="616"/>
        <item x="803"/>
        <item x="416"/>
        <item x="999"/>
        <item x="417"/>
        <item x="203"/>
        <item x="204"/>
        <item x="205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dataField="1" showAll="0"/>
  </pivotFields>
  <rowFields count="1">
    <field x="9"/>
  </rowFields>
  <rowItems count="4">
    <i>
      <x v="1"/>
    </i>
    <i>
      <x v="2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et_Profit" fld="14" baseField="0" baseItem="0"/>
    <dataField name="Sum of Gross_Revenue" fld="11" baseField="0" baseItem="0"/>
    <dataField name="Sum of Quantity" fld="4" baseField="0" baseItem="0"/>
    <dataField name="Sum of Discount_Amount" fld="12" baseField="0" baseItem="0"/>
    <dataField name="Sum of Shipping_Cost" fld="7" baseField="0" baseItem="0"/>
    <dataField name="Count of Order_ID" fld="0" subtotal="count" baseField="0" baseItem="0"/>
  </dataFields>
  <formats count="2">
    <format dxfId="74">
      <pivotArea collapsedLevelsAreSubtotals="1" fieldPosition="0">
        <references count="1">
          <reference field="9" count="0"/>
        </references>
      </pivotArea>
    </format>
    <format dxfId="73">
      <pivotArea collapsedLevelsAreSubtotals="1" fieldPosition="0">
        <references count="2">
          <reference field="4294967294" count="1" selected="0">
            <x v="5"/>
          </reference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="90" zoomScaleNormal="90" workbookViewId="0">
      <selection activeCell="R17" sqref="R17"/>
    </sheetView>
  </sheetViews>
  <sheetFormatPr defaultRowHeight="14.4" x14ac:dyDescent="0.3"/>
  <cols>
    <col min="1" max="1" width="13" bestFit="1" customWidth="1"/>
    <col min="2" max="2" width="14.88671875" style="3" customWidth="1"/>
    <col min="3" max="3" width="13.33203125" customWidth="1"/>
    <col min="4" max="4" width="11.21875" bestFit="1" customWidth="1"/>
    <col min="5" max="5" width="10.5546875" customWidth="1"/>
    <col min="6" max="6" width="15.109375" bestFit="1" customWidth="1"/>
    <col min="7" max="7" width="16.44140625" bestFit="1" customWidth="1"/>
    <col min="8" max="8" width="17.5546875" bestFit="1" customWidth="1"/>
    <col min="9" max="9" width="18.6640625" bestFit="1" customWidth="1"/>
    <col min="10" max="10" width="15" customWidth="1"/>
    <col min="11" max="11" width="13.21875" customWidth="1"/>
    <col min="12" max="12" width="16.44140625" customWidth="1"/>
    <col min="13" max="13" width="18.44140625" customWidth="1"/>
    <col min="14" max="14" width="14.88671875" customWidth="1"/>
    <col min="15" max="15" width="19.21875" style="5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 x14ac:dyDescent="0.3">
      <c r="A2" t="s">
        <v>15</v>
      </c>
      <c r="B2" s="3">
        <v>46302</v>
      </c>
      <c r="C2" t="s">
        <v>16</v>
      </c>
      <c r="D2" t="s">
        <v>17</v>
      </c>
      <c r="E2">
        <v>24</v>
      </c>
      <c r="F2">
        <v>50</v>
      </c>
      <c r="G2">
        <v>0.2</v>
      </c>
      <c r="H2">
        <v>20</v>
      </c>
      <c r="I2" t="s">
        <v>18</v>
      </c>
      <c r="J2" t="s">
        <v>19</v>
      </c>
      <c r="K2" cm="1">
        <f t="array" ref="K2:K1001">_xlfn.XLOOKUP(I2:I1001,Products!$B$2:$B$6,Products!$D$2:$D$6,0,0)</f>
        <v>10</v>
      </c>
      <c r="L2">
        <f t="shared" ref="L2:L65" si="0">E2*F2</f>
        <v>1200</v>
      </c>
      <c r="M2">
        <f t="shared" ref="M2:M65" si="1">F2*G2</f>
        <v>10</v>
      </c>
      <c r="N2">
        <f t="shared" ref="N2:N65" si="2">E2*K2</f>
        <v>240</v>
      </c>
      <c r="O2" s="5">
        <f t="shared" ref="O2:O65" si="3">L2-H2-N2</f>
        <v>940</v>
      </c>
    </row>
    <row r="3" spans="1:15" x14ac:dyDescent="0.3">
      <c r="A3" t="s">
        <v>20</v>
      </c>
      <c r="B3" s="3">
        <v>46106</v>
      </c>
      <c r="C3" t="s">
        <v>16</v>
      </c>
      <c r="D3" t="s">
        <v>17</v>
      </c>
      <c r="E3">
        <v>18</v>
      </c>
      <c r="F3">
        <v>50</v>
      </c>
      <c r="G3">
        <v>0</v>
      </c>
      <c r="H3">
        <v>20</v>
      </c>
      <c r="I3" t="s">
        <v>18</v>
      </c>
      <c r="J3" t="s">
        <v>19</v>
      </c>
      <c r="K3">
        <v>10</v>
      </c>
      <c r="L3">
        <f t="shared" si="0"/>
        <v>900</v>
      </c>
      <c r="M3">
        <f t="shared" si="1"/>
        <v>0</v>
      </c>
      <c r="N3">
        <f t="shared" si="2"/>
        <v>180</v>
      </c>
      <c r="O3" s="5">
        <f t="shared" si="3"/>
        <v>700</v>
      </c>
    </row>
    <row r="4" spans="1:15" x14ac:dyDescent="0.3">
      <c r="A4" t="s">
        <v>21</v>
      </c>
      <c r="B4" s="3">
        <v>46161</v>
      </c>
      <c r="C4" t="s">
        <v>16</v>
      </c>
      <c r="D4" t="s">
        <v>22</v>
      </c>
      <c r="E4">
        <v>25</v>
      </c>
      <c r="F4">
        <v>50</v>
      </c>
      <c r="G4">
        <v>0.1</v>
      </c>
      <c r="H4">
        <v>20</v>
      </c>
      <c r="I4" t="s">
        <v>18</v>
      </c>
      <c r="J4" t="s">
        <v>19</v>
      </c>
      <c r="K4">
        <v>10</v>
      </c>
      <c r="L4">
        <f t="shared" si="0"/>
        <v>1250</v>
      </c>
      <c r="M4">
        <f t="shared" si="1"/>
        <v>5</v>
      </c>
      <c r="N4">
        <f t="shared" si="2"/>
        <v>250</v>
      </c>
      <c r="O4" s="5">
        <f t="shared" si="3"/>
        <v>980</v>
      </c>
    </row>
    <row r="5" spans="1:15" x14ac:dyDescent="0.3">
      <c r="A5" t="s">
        <v>23</v>
      </c>
      <c r="B5" s="3">
        <v>46364</v>
      </c>
      <c r="C5" t="s">
        <v>16</v>
      </c>
      <c r="D5" t="s">
        <v>24</v>
      </c>
      <c r="E5">
        <v>12</v>
      </c>
      <c r="F5">
        <v>50</v>
      </c>
      <c r="G5">
        <v>0.35</v>
      </c>
      <c r="H5">
        <v>5</v>
      </c>
      <c r="I5" t="s">
        <v>18</v>
      </c>
      <c r="J5" t="s">
        <v>19</v>
      </c>
      <c r="K5">
        <v>10</v>
      </c>
      <c r="L5">
        <f t="shared" si="0"/>
        <v>600</v>
      </c>
      <c r="M5">
        <f t="shared" si="1"/>
        <v>17.5</v>
      </c>
      <c r="N5">
        <f t="shared" si="2"/>
        <v>120</v>
      </c>
      <c r="O5" s="5">
        <f t="shared" si="3"/>
        <v>475</v>
      </c>
    </row>
    <row r="6" spans="1:15" x14ac:dyDescent="0.3">
      <c r="A6" t="s">
        <v>25</v>
      </c>
      <c r="B6" s="3">
        <v>46361</v>
      </c>
      <c r="C6" t="s">
        <v>16</v>
      </c>
      <c r="D6" t="s">
        <v>17</v>
      </c>
      <c r="E6">
        <v>19</v>
      </c>
      <c r="F6">
        <v>50</v>
      </c>
      <c r="G6">
        <v>0.35</v>
      </c>
      <c r="H6">
        <v>5</v>
      </c>
      <c r="I6" t="s">
        <v>18</v>
      </c>
      <c r="J6" t="s">
        <v>19</v>
      </c>
      <c r="K6">
        <v>10</v>
      </c>
      <c r="L6">
        <f t="shared" si="0"/>
        <v>950</v>
      </c>
      <c r="M6">
        <f t="shared" si="1"/>
        <v>17.5</v>
      </c>
      <c r="N6">
        <f t="shared" si="2"/>
        <v>190</v>
      </c>
      <c r="O6" s="5">
        <f t="shared" si="3"/>
        <v>755</v>
      </c>
    </row>
    <row r="7" spans="1:15" x14ac:dyDescent="0.3">
      <c r="A7" t="s">
        <v>26</v>
      </c>
      <c r="B7" s="3">
        <v>46179</v>
      </c>
      <c r="C7" t="s">
        <v>16</v>
      </c>
      <c r="D7" t="s">
        <v>22</v>
      </c>
      <c r="E7">
        <v>18</v>
      </c>
      <c r="F7">
        <v>50</v>
      </c>
      <c r="G7">
        <v>0</v>
      </c>
      <c r="H7">
        <v>10</v>
      </c>
      <c r="I7" t="s">
        <v>18</v>
      </c>
      <c r="J7" t="s">
        <v>19</v>
      </c>
      <c r="K7">
        <v>10</v>
      </c>
      <c r="L7">
        <f t="shared" si="0"/>
        <v>900</v>
      </c>
      <c r="M7">
        <f t="shared" si="1"/>
        <v>0</v>
      </c>
      <c r="N7">
        <f t="shared" si="2"/>
        <v>180</v>
      </c>
      <c r="O7" s="5">
        <f t="shared" si="3"/>
        <v>710</v>
      </c>
    </row>
    <row r="8" spans="1:15" x14ac:dyDescent="0.3">
      <c r="A8" t="s">
        <v>27</v>
      </c>
      <c r="B8" s="3">
        <v>46121</v>
      </c>
      <c r="C8" t="s">
        <v>16</v>
      </c>
      <c r="D8" t="s">
        <v>22</v>
      </c>
      <c r="E8">
        <v>6</v>
      </c>
      <c r="F8">
        <v>50</v>
      </c>
      <c r="G8">
        <v>0.35</v>
      </c>
      <c r="H8">
        <v>5</v>
      </c>
      <c r="I8" t="s">
        <v>18</v>
      </c>
      <c r="J8" t="s">
        <v>19</v>
      </c>
      <c r="K8">
        <v>10</v>
      </c>
      <c r="L8">
        <f t="shared" si="0"/>
        <v>300</v>
      </c>
      <c r="M8">
        <f t="shared" si="1"/>
        <v>17.5</v>
      </c>
      <c r="N8">
        <f t="shared" si="2"/>
        <v>60</v>
      </c>
      <c r="O8" s="5">
        <f t="shared" si="3"/>
        <v>235</v>
      </c>
    </row>
    <row r="9" spans="1:15" x14ac:dyDescent="0.3">
      <c r="A9" t="s">
        <v>28</v>
      </c>
      <c r="B9" s="3">
        <v>46051</v>
      </c>
      <c r="C9" t="s">
        <v>16</v>
      </c>
      <c r="D9" t="s">
        <v>22</v>
      </c>
      <c r="E9">
        <v>1</v>
      </c>
      <c r="F9">
        <v>50</v>
      </c>
      <c r="G9">
        <v>0.35</v>
      </c>
      <c r="H9">
        <v>20</v>
      </c>
      <c r="I9" t="s">
        <v>18</v>
      </c>
      <c r="J9" t="s">
        <v>19</v>
      </c>
      <c r="K9">
        <v>10</v>
      </c>
      <c r="L9">
        <f t="shared" si="0"/>
        <v>50</v>
      </c>
      <c r="M9">
        <f t="shared" si="1"/>
        <v>17.5</v>
      </c>
      <c r="N9">
        <f t="shared" si="2"/>
        <v>10</v>
      </c>
      <c r="O9" s="5">
        <f t="shared" si="3"/>
        <v>20</v>
      </c>
    </row>
    <row r="10" spans="1:15" x14ac:dyDescent="0.3">
      <c r="A10" t="s">
        <v>29</v>
      </c>
      <c r="B10" s="3">
        <v>46312</v>
      </c>
      <c r="C10" t="s">
        <v>16</v>
      </c>
      <c r="D10" t="s">
        <v>24</v>
      </c>
      <c r="E10">
        <v>11</v>
      </c>
      <c r="F10">
        <v>50</v>
      </c>
      <c r="G10">
        <v>0.35</v>
      </c>
      <c r="H10">
        <v>20</v>
      </c>
      <c r="I10" t="s">
        <v>18</v>
      </c>
      <c r="J10" t="s">
        <v>19</v>
      </c>
      <c r="K10">
        <v>10</v>
      </c>
      <c r="L10">
        <f t="shared" si="0"/>
        <v>550</v>
      </c>
      <c r="M10">
        <f t="shared" si="1"/>
        <v>17.5</v>
      </c>
      <c r="N10">
        <f t="shared" si="2"/>
        <v>110</v>
      </c>
      <c r="O10" s="5">
        <f t="shared" si="3"/>
        <v>420</v>
      </c>
    </row>
    <row r="11" spans="1:15" x14ac:dyDescent="0.3">
      <c r="A11" t="s">
        <v>30</v>
      </c>
      <c r="B11" s="3">
        <v>46279</v>
      </c>
      <c r="C11" t="s">
        <v>16</v>
      </c>
      <c r="D11" t="s">
        <v>24</v>
      </c>
      <c r="E11">
        <v>16</v>
      </c>
      <c r="F11">
        <v>50</v>
      </c>
      <c r="G11">
        <v>0.2</v>
      </c>
      <c r="H11">
        <v>20</v>
      </c>
      <c r="I11" t="s">
        <v>18</v>
      </c>
      <c r="J11" t="s">
        <v>19</v>
      </c>
      <c r="K11">
        <v>10</v>
      </c>
      <c r="L11">
        <f t="shared" si="0"/>
        <v>800</v>
      </c>
      <c r="M11">
        <f t="shared" si="1"/>
        <v>10</v>
      </c>
      <c r="N11">
        <f t="shared" si="2"/>
        <v>160</v>
      </c>
      <c r="O11" s="5">
        <f t="shared" si="3"/>
        <v>620</v>
      </c>
    </row>
    <row r="12" spans="1:15" x14ac:dyDescent="0.3">
      <c r="A12" t="s">
        <v>31</v>
      </c>
      <c r="B12" s="3">
        <v>46242</v>
      </c>
      <c r="C12" t="s">
        <v>16</v>
      </c>
      <c r="D12" t="s">
        <v>22</v>
      </c>
      <c r="E12">
        <v>20</v>
      </c>
      <c r="F12">
        <v>50</v>
      </c>
      <c r="G12">
        <v>0.35</v>
      </c>
      <c r="H12">
        <v>15</v>
      </c>
      <c r="I12" t="s">
        <v>18</v>
      </c>
      <c r="J12" t="s">
        <v>19</v>
      </c>
      <c r="K12">
        <v>10</v>
      </c>
      <c r="L12">
        <f t="shared" si="0"/>
        <v>1000</v>
      </c>
      <c r="M12">
        <f t="shared" si="1"/>
        <v>17.5</v>
      </c>
      <c r="N12">
        <f t="shared" si="2"/>
        <v>200</v>
      </c>
      <c r="O12" s="5">
        <f t="shared" si="3"/>
        <v>785</v>
      </c>
    </row>
    <row r="13" spans="1:15" x14ac:dyDescent="0.3">
      <c r="A13" t="s">
        <v>32</v>
      </c>
      <c r="B13" s="3">
        <v>46179</v>
      </c>
      <c r="C13" t="s">
        <v>16</v>
      </c>
      <c r="D13" t="s">
        <v>17</v>
      </c>
      <c r="E13">
        <v>19</v>
      </c>
      <c r="F13">
        <v>50</v>
      </c>
      <c r="G13">
        <v>0.2</v>
      </c>
      <c r="H13">
        <v>20</v>
      </c>
      <c r="I13" t="s">
        <v>18</v>
      </c>
      <c r="J13" t="s">
        <v>19</v>
      </c>
      <c r="K13">
        <v>10</v>
      </c>
      <c r="L13">
        <f t="shared" si="0"/>
        <v>950</v>
      </c>
      <c r="M13">
        <f t="shared" si="1"/>
        <v>10</v>
      </c>
      <c r="N13">
        <f t="shared" si="2"/>
        <v>190</v>
      </c>
      <c r="O13" s="5">
        <f t="shared" si="3"/>
        <v>740</v>
      </c>
    </row>
    <row r="14" spans="1:15" x14ac:dyDescent="0.3">
      <c r="A14" t="s">
        <v>33</v>
      </c>
      <c r="B14" s="3">
        <v>46366</v>
      </c>
      <c r="C14" t="s">
        <v>16</v>
      </c>
      <c r="D14" t="s">
        <v>34</v>
      </c>
      <c r="E14">
        <v>15</v>
      </c>
      <c r="F14">
        <v>50</v>
      </c>
      <c r="G14">
        <v>0</v>
      </c>
      <c r="H14">
        <v>10</v>
      </c>
      <c r="I14" t="s">
        <v>18</v>
      </c>
      <c r="J14" t="s">
        <v>19</v>
      </c>
      <c r="K14">
        <v>10</v>
      </c>
      <c r="L14">
        <f t="shared" si="0"/>
        <v>750</v>
      </c>
      <c r="M14">
        <f t="shared" si="1"/>
        <v>0</v>
      </c>
      <c r="N14">
        <f t="shared" si="2"/>
        <v>150</v>
      </c>
      <c r="O14" s="5">
        <f t="shared" si="3"/>
        <v>590</v>
      </c>
    </row>
    <row r="15" spans="1:15" x14ac:dyDescent="0.3">
      <c r="A15" t="s">
        <v>35</v>
      </c>
      <c r="B15" s="3">
        <v>46115</v>
      </c>
      <c r="C15" t="s">
        <v>16</v>
      </c>
      <c r="D15" t="s">
        <v>34</v>
      </c>
      <c r="E15">
        <v>18</v>
      </c>
      <c r="F15">
        <v>50</v>
      </c>
      <c r="G15">
        <v>0.2</v>
      </c>
      <c r="H15">
        <v>10</v>
      </c>
      <c r="I15" t="s">
        <v>18</v>
      </c>
      <c r="J15" t="s">
        <v>19</v>
      </c>
      <c r="K15">
        <v>10</v>
      </c>
      <c r="L15">
        <f t="shared" si="0"/>
        <v>900</v>
      </c>
      <c r="M15">
        <f t="shared" si="1"/>
        <v>10</v>
      </c>
      <c r="N15">
        <f t="shared" si="2"/>
        <v>180</v>
      </c>
      <c r="O15" s="5">
        <f t="shared" si="3"/>
        <v>710</v>
      </c>
    </row>
    <row r="16" spans="1:15" x14ac:dyDescent="0.3">
      <c r="A16" t="s">
        <v>36</v>
      </c>
      <c r="B16" s="3">
        <v>46189</v>
      </c>
      <c r="C16" t="s">
        <v>16</v>
      </c>
      <c r="D16" t="s">
        <v>17</v>
      </c>
      <c r="E16">
        <v>22</v>
      </c>
      <c r="F16">
        <v>50</v>
      </c>
      <c r="G16">
        <v>0.35</v>
      </c>
      <c r="H16">
        <v>15</v>
      </c>
      <c r="I16" t="s">
        <v>18</v>
      </c>
      <c r="J16" t="s">
        <v>19</v>
      </c>
      <c r="K16">
        <v>10</v>
      </c>
      <c r="L16">
        <f t="shared" si="0"/>
        <v>1100</v>
      </c>
      <c r="M16">
        <f t="shared" si="1"/>
        <v>17.5</v>
      </c>
      <c r="N16">
        <f t="shared" si="2"/>
        <v>220</v>
      </c>
      <c r="O16" s="5">
        <f t="shared" si="3"/>
        <v>865</v>
      </c>
    </row>
    <row r="17" spans="1:15" x14ac:dyDescent="0.3">
      <c r="A17" t="s">
        <v>37</v>
      </c>
      <c r="B17" s="3">
        <v>46328</v>
      </c>
      <c r="C17" t="s">
        <v>16</v>
      </c>
      <c r="D17" t="s">
        <v>24</v>
      </c>
      <c r="E17">
        <v>5</v>
      </c>
      <c r="F17">
        <v>50</v>
      </c>
      <c r="G17">
        <v>0.2</v>
      </c>
      <c r="H17">
        <v>15</v>
      </c>
      <c r="I17" t="s">
        <v>18</v>
      </c>
      <c r="J17" t="s">
        <v>19</v>
      </c>
      <c r="K17">
        <v>10</v>
      </c>
      <c r="L17">
        <f t="shared" si="0"/>
        <v>250</v>
      </c>
      <c r="M17">
        <f t="shared" si="1"/>
        <v>10</v>
      </c>
      <c r="N17">
        <f t="shared" si="2"/>
        <v>50</v>
      </c>
      <c r="O17" s="5">
        <f t="shared" si="3"/>
        <v>185</v>
      </c>
    </row>
    <row r="18" spans="1:15" x14ac:dyDescent="0.3">
      <c r="A18" t="s">
        <v>38</v>
      </c>
      <c r="B18" s="3">
        <v>46061</v>
      </c>
      <c r="C18" t="s">
        <v>16</v>
      </c>
      <c r="D18" t="s">
        <v>22</v>
      </c>
      <c r="E18">
        <v>2</v>
      </c>
      <c r="F18">
        <v>50</v>
      </c>
      <c r="G18">
        <v>0.2</v>
      </c>
      <c r="H18">
        <v>10</v>
      </c>
      <c r="I18" t="s">
        <v>18</v>
      </c>
      <c r="J18" t="s">
        <v>19</v>
      </c>
      <c r="K18">
        <v>10</v>
      </c>
      <c r="L18">
        <f t="shared" si="0"/>
        <v>100</v>
      </c>
      <c r="M18">
        <f t="shared" si="1"/>
        <v>10</v>
      </c>
      <c r="N18">
        <f t="shared" si="2"/>
        <v>20</v>
      </c>
      <c r="O18" s="5">
        <f t="shared" si="3"/>
        <v>70</v>
      </c>
    </row>
    <row r="19" spans="1:15" x14ac:dyDescent="0.3">
      <c r="A19" t="s">
        <v>39</v>
      </c>
      <c r="B19" s="3">
        <v>46277</v>
      </c>
      <c r="C19" t="s">
        <v>16</v>
      </c>
      <c r="D19" t="s">
        <v>24</v>
      </c>
      <c r="E19">
        <v>8</v>
      </c>
      <c r="F19">
        <v>50</v>
      </c>
      <c r="G19">
        <v>0</v>
      </c>
      <c r="H19">
        <v>15</v>
      </c>
      <c r="I19" t="s">
        <v>18</v>
      </c>
      <c r="J19" t="s">
        <v>19</v>
      </c>
      <c r="K19">
        <v>10</v>
      </c>
      <c r="L19">
        <f t="shared" si="0"/>
        <v>400</v>
      </c>
      <c r="M19">
        <f t="shared" si="1"/>
        <v>0</v>
      </c>
      <c r="N19">
        <f t="shared" si="2"/>
        <v>80</v>
      </c>
      <c r="O19" s="5">
        <f t="shared" si="3"/>
        <v>305</v>
      </c>
    </row>
    <row r="20" spans="1:15" x14ac:dyDescent="0.3">
      <c r="A20" t="s">
        <v>40</v>
      </c>
      <c r="B20" s="3">
        <v>46367</v>
      </c>
      <c r="C20" t="s">
        <v>16</v>
      </c>
      <c r="D20" t="s">
        <v>34</v>
      </c>
      <c r="E20">
        <v>25</v>
      </c>
      <c r="F20">
        <v>50</v>
      </c>
      <c r="G20">
        <v>0.1</v>
      </c>
      <c r="H20">
        <v>15</v>
      </c>
      <c r="I20" t="s">
        <v>18</v>
      </c>
      <c r="J20" t="s">
        <v>19</v>
      </c>
      <c r="K20">
        <v>10</v>
      </c>
      <c r="L20">
        <f t="shared" si="0"/>
        <v>1250</v>
      </c>
      <c r="M20">
        <f t="shared" si="1"/>
        <v>5</v>
      </c>
      <c r="N20">
        <f t="shared" si="2"/>
        <v>250</v>
      </c>
      <c r="O20" s="5">
        <f t="shared" si="3"/>
        <v>985</v>
      </c>
    </row>
    <row r="21" spans="1:15" x14ac:dyDescent="0.3">
      <c r="A21" t="s">
        <v>41</v>
      </c>
      <c r="B21" s="3">
        <v>46344</v>
      </c>
      <c r="C21" t="s">
        <v>16</v>
      </c>
      <c r="D21" t="s">
        <v>34</v>
      </c>
      <c r="E21">
        <v>5</v>
      </c>
      <c r="F21">
        <v>50</v>
      </c>
      <c r="G21">
        <v>0.35</v>
      </c>
      <c r="H21">
        <v>5</v>
      </c>
      <c r="I21" t="s">
        <v>18</v>
      </c>
      <c r="J21" t="s">
        <v>19</v>
      </c>
      <c r="K21">
        <v>10</v>
      </c>
      <c r="L21">
        <f t="shared" si="0"/>
        <v>250</v>
      </c>
      <c r="M21">
        <f t="shared" si="1"/>
        <v>17.5</v>
      </c>
      <c r="N21">
        <f t="shared" si="2"/>
        <v>50</v>
      </c>
      <c r="O21" s="5">
        <f t="shared" si="3"/>
        <v>195</v>
      </c>
    </row>
    <row r="22" spans="1:15" x14ac:dyDescent="0.3">
      <c r="A22" t="s">
        <v>42</v>
      </c>
      <c r="B22" s="3">
        <v>46149</v>
      </c>
      <c r="C22" t="s">
        <v>16</v>
      </c>
      <c r="D22" t="s">
        <v>24</v>
      </c>
      <c r="E22">
        <v>6</v>
      </c>
      <c r="F22">
        <v>50</v>
      </c>
      <c r="G22">
        <v>0</v>
      </c>
      <c r="H22">
        <v>15</v>
      </c>
      <c r="I22" t="s">
        <v>18</v>
      </c>
      <c r="J22" t="s">
        <v>19</v>
      </c>
      <c r="K22">
        <v>10</v>
      </c>
      <c r="L22">
        <f t="shared" si="0"/>
        <v>300</v>
      </c>
      <c r="M22">
        <f t="shared" si="1"/>
        <v>0</v>
      </c>
      <c r="N22">
        <f t="shared" si="2"/>
        <v>60</v>
      </c>
      <c r="O22" s="5">
        <f t="shared" si="3"/>
        <v>225</v>
      </c>
    </row>
    <row r="23" spans="1:15" x14ac:dyDescent="0.3">
      <c r="A23" t="s">
        <v>43</v>
      </c>
      <c r="B23" s="3">
        <v>46233</v>
      </c>
      <c r="C23" t="s">
        <v>16</v>
      </c>
      <c r="D23" t="s">
        <v>17</v>
      </c>
      <c r="E23">
        <v>16</v>
      </c>
      <c r="F23">
        <v>50</v>
      </c>
      <c r="G23">
        <v>0.35</v>
      </c>
      <c r="H23">
        <v>20</v>
      </c>
      <c r="I23" t="s">
        <v>18</v>
      </c>
      <c r="J23" t="s">
        <v>19</v>
      </c>
      <c r="K23">
        <v>10</v>
      </c>
      <c r="L23">
        <f t="shared" si="0"/>
        <v>800</v>
      </c>
      <c r="M23">
        <f t="shared" si="1"/>
        <v>17.5</v>
      </c>
      <c r="N23">
        <f t="shared" si="2"/>
        <v>160</v>
      </c>
      <c r="O23" s="5">
        <f t="shared" si="3"/>
        <v>620</v>
      </c>
    </row>
    <row r="24" spans="1:15" x14ac:dyDescent="0.3">
      <c r="A24" t="s">
        <v>44</v>
      </c>
      <c r="B24" s="3">
        <v>46316</v>
      </c>
      <c r="C24" t="s">
        <v>16</v>
      </c>
      <c r="D24" t="s">
        <v>17</v>
      </c>
      <c r="E24">
        <v>3</v>
      </c>
      <c r="F24">
        <v>50</v>
      </c>
      <c r="G24">
        <v>0.35</v>
      </c>
      <c r="H24">
        <v>5</v>
      </c>
      <c r="I24" t="s">
        <v>18</v>
      </c>
      <c r="J24" t="s">
        <v>19</v>
      </c>
      <c r="K24">
        <v>10</v>
      </c>
      <c r="L24">
        <f t="shared" si="0"/>
        <v>150</v>
      </c>
      <c r="M24">
        <f t="shared" si="1"/>
        <v>17.5</v>
      </c>
      <c r="N24">
        <f t="shared" si="2"/>
        <v>30</v>
      </c>
      <c r="O24" s="5">
        <f t="shared" si="3"/>
        <v>115</v>
      </c>
    </row>
    <row r="25" spans="1:15" x14ac:dyDescent="0.3">
      <c r="A25" t="s">
        <v>45</v>
      </c>
      <c r="B25" s="3">
        <v>46145</v>
      </c>
      <c r="C25" t="s">
        <v>16</v>
      </c>
      <c r="D25" t="s">
        <v>24</v>
      </c>
      <c r="E25">
        <v>3</v>
      </c>
      <c r="F25">
        <v>50</v>
      </c>
      <c r="G25">
        <v>0.35</v>
      </c>
      <c r="H25">
        <v>5</v>
      </c>
      <c r="I25" t="s">
        <v>18</v>
      </c>
      <c r="J25" t="s">
        <v>19</v>
      </c>
      <c r="K25">
        <v>10</v>
      </c>
      <c r="L25">
        <f t="shared" si="0"/>
        <v>150</v>
      </c>
      <c r="M25">
        <f t="shared" si="1"/>
        <v>17.5</v>
      </c>
      <c r="N25">
        <f t="shared" si="2"/>
        <v>30</v>
      </c>
      <c r="O25" s="5">
        <f t="shared" si="3"/>
        <v>115</v>
      </c>
    </row>
    <row r="26" spans="1:15" x14ac:dyDescent="0.3">
      <c r="A26" t="s">
        <v>46</v>
      </c>
      <c r="B26" s="3">
        <v>46217</v>
      </c>
      <c r="C26" t="s">
        <v>16</v>
      </c>
      <c r="D26" t="s">
        <v>17</v>
      </c>
      <c r="E26">
        <v>24</v>
      </c>
      <c r="F26">
        <v>50</v>
      </c>
      <c r="G26">
        <v>0.1</v>
      </c>
      <c r="H26">
        <v>15</v>
      </c>
      <c r="I26" t="s">
        <v>18</v>
      </c>
      <c r="J26" t="s">
        <v>19</v>
      </c>
      <c r="K26">
        <v>10</v>
      </c>
      <c r="L26">
        <f t="shared" si="0"/>
        <v>1200</v>
      </c>
      <c r="M26">
        <f t="shared" si="1"/>
        <v>5</v>
      </c>
      <c r="N26">
        <f t="shared" si="2"/>
        <v>240</v>
      </c>
      <c r="O26" s="5">
        <f t="shared" si="3"/>
        <v>945</v>
      </c>
    </row>
    <row r="27" spans="1:15" x14ac:dyDescent="0.3">
      <c r="A27" t="s">
        <v>47</v>
      </c>
      <c r="B27" s="3">
        <v>46370</v>
      </c>
      <c r="C27" t="s">
        <v>16</v>
      </c>
      <c r="D27" t="s">
        <v>17</v>
      </c>
      <c r="E27">
        <v>18</v>
      </c>
      <c r="F27">
        <v>50</v>
      </c>
      <c r="G27">
        <v>0.35</v>
      </c>
      <c r="H27">
        <v>20</v>
      </c>
      <c r="I27" t="s">
        <v>18</v>
      </c>
      <c r="J27" t="s">
        <v>19</v>
      </c>
      <c r="K27">
        <v>10</v>
      </c>
      <c r="L27">
        <f t="shared" si="0"/>
        <v>900</v>
      </c>
      <c r="M27">
        <f t="shared" si="1"/>
        <v>17.5</v>
      </c>
      <c r="N27">
        <f t="shared" si="2"/>
        <v>180</v>
      </c>
      <c r="O27" s="5">
        <f t="shared" si="3"/>
        <v>700</v>
      </c>
    </row>
    <row r="28" spans="1:15" x14ac:dyDescent="0.3">
      <c r="A28" t="s">
        <v>48</v>
      </c>
      <c r="B28" s="3">
        <v>46259</v>
      </c>
      <c r="C28" t="s">
        <v>16</v>
      </c>
      <c r="D28" t="s">
        <v>34</v>
      </c>
      <c r="E28">
        <v>4</v>
      </c>
      <c r="F28">
        <v>50</v>
      </c>
      <c r="G28">
        <v>0.35</v>
      </c>
      <c r="H28">
        <v>15</v>
      </c>
      <c r="I28" t="s">
        <v>18</v>
      </c>
      <c r="J28" t="s">
        <v>19</v>
      </c>
      <c r="K28">
        <v>10</v>
      </c>
      <c r="L28">
        <f t="shared" si="0"/>
        <v>200</v>
      </c>
      <c r="M28">
        <f t="shared" si="1"/>
        <v>17.5</v>
      </c>
      <c r="N28">
        <f t="shared" si="2"/>
        <v>40</v>
      </c>
      <c r="O28" s="5">
        <f t="shared" si="3"/>
        <v>145</v>
      </c>
    </row>
    <row r="29" spans="1:15" x14ac:dyDescent="0.3">
      <c r="A29" t="s">
        <v>49</v>
      </c>
      <c r="B29" s="3">
        <v>46319</v>
      </c>
      <c r="C29" t="s">
        <v>16</v>
      </c>
      <c r="D29" t="s">
        <v>22</v>
      </c>
      <c r="E29">
        <v>23</v>
      </c>
      <c r="F29">
        <v>50</v>
      </c>
      <c r="G29">
        <v>0.1</v>
      </c>
      <c r="H29">
        <v>5</v>
      </c>
      <c r="I29" t="s">
        <v>18</v>
      </c>
      <c r="J29" t="s">
        <v>19</v>
      </c>
      <c r="K29">
        <v>10</v>
      </c>
      <c r="L29">
        <f t="shared" si="0"/>
        <v>1150</v>
      </c>
      <c r="M29">
        <f t="shared" si="1"/>
        <v>5</v>
      </c>
      <c r="N29">
        <f t="shared" si="2"/>
        <v>230</v>
      </c>
      <c r="O29" s="5">
        <f t="shared" si="3"/>
        <v>915</v>
      </c>
    </row>
    <row r="30" spans="1:15" x14ac:dyDescent="0.3">
      <c r="A30" t="s">
        <v>50</v>
      </c>
      <c r="B30" s="3">
        <v>46258</v>
      </c>
      <c r="C30" t="s">
        <v>16</v>
      </c>
      <c r="D30" t="s">
        <v>34</v>
      </c>
      <c r="E30">
        <v>18</v>
      </c>
      <c r="F30">
        <v>50</v>
      </c>
      <c r="G30">
        <v>0.35</v>
      </c>
      <c r="H30">
        <v>15</v>
      </c>
      <c r="I30" t="s">
        <v>18</v>
      </c>
      <c r="J30" t="s">
        <v>19</v>
      </c>
      <c r="K30">
        <v>10</v>
      </c>
      <c r="L30">
        <f t="shared" si="0"/>
        <v>900</v>
      </c>
      <c r="M30">
        <f t="shared" si="1"/>
        <v>17.5</v>
      </c>
      <c r="N30">
        <f t="shared" si="2"/>
        <v>180</v>
      </c>
      <c r="O30" s="5">
        <f t="shared" si="3"/>
        <v>705</v>
      </c>
    </row>
    <row r="31" spans="1:15" x14ac:dyDescent="0.3">
      <c r="A31" t="s">
        <v>51</v>
      </c>
      <c r="B31" s="3">
        <v>46256</v>
      </c>
      <c r="C31" t="s">
        <v>16</v>
      </c>
      <c r="D31" t="s">
        <v>17</v>
      </c>
      <c r="E31">
        <v>24</v>
      </c>
      <c r="F31">
        <v>50</v>
      </c>
      <c r="G31">
        <v>0.1</v>
      </c>
      <c r="H31">
        <v>20</v>
      </c>
      <c r="I31" t="s">
        <v>18</v>
      </c>
      <c r="J31" t="s">
        <v>19</v>
      </c>
      <c r="K31">
        <v>10</v>
      </c>
      <c r="L31">
        <f t="shared" si="0"/>
        <v>1200</v>
      </c>
      <c r="M31">
        <f t="shared" si="1"/>
        <v>5</v>
      </c>
      <c r="N31">
        <f t="shared" si="2"/>
        <v>240</v>
      </c>
      <c r="O31" s="5">
        <f t="shared" si="3"/>
        <v>940</v>
      </c>
    </row>
    <row r="32" spans="1:15" x14ac:dyDescent="0.3">
      <c r="A32" t="s">
        <v>52</v>
      </c>
      <c r="B32" s="3">
        <v>46043</v>
      </c>
      <c r="C32" t="s">
        <v>16</v>
      </c>
      <c r="D32" t="s">
        <v>34</v>
      </c>
      <c r="E32">
        <v>1</v>
      </c>
      <c r="F32">
        <v>50</v>
      </c>
      <c r="G32">
        <v>0.35</v>
      </c>
      <c r="H32">
        <v>15</v>
      </c>
      <c r="I32" t="s">
        <v>18</v>
      </c>
      <c r="J32" t="s">
        <v>19</v>
      </c>
      <c r="K32">
        <v>10</v>
      </c>
      <c r="L32">
        <f t="shared" si="0"/>
        <v>50</v>
      </c>
      <c r="M32">
        <f t="shared" si="1"/>
        <v>17.5</v>
      </c>
      <c r="N32">
        <f t="shared" si="2"/>
        <v>10</v>
      </c>
      <c r="O32" s="5">
        <f t="shared" si="3"/>
        <v>25</v>
      </c>
    </row>
    <row r="33" spans="1:15" x14ac:dyDescent="0.3">
      <c r="A33" t="s">
        <v>53</v>
      </c>
      <c r="B33" s="3">
        <v>46267</v>
      </c>
      <c r="C33" t="s">
        <v>16</v>
      </c>
      <c r="D33" t="s">
        <v>24</v>
      </c>
      <c r="E33">
        <v>18</v>
      </c>
      <c r="F33">
        <v>50</v>
      </c>
      <c r="G33">
        <v>0</v>
      </c>
      <c r="H33">
        <v>5</v>
      </c>
      <c r="I33" t="s">
        <v>18</v>
      </c>
      <c r="J33" t="s">
        <v>19</v>
      </c>
      <c r="K33">
        <v>10</v>
      </c>
      <c r="L33">
        <f t="shared" si="0"/>
        <v>900</v>
      </c>
      <c r="M33">
        <f t="shared" si="1"/>
        <v>0</v>
      </c>
      <c r="N33">
        <f t="shared" si="2"/>
        <v>180</v>
      </c>
      <c r="O33" s="5">
        <f t="shared" si="3"/>
        <v>715</v>
      </c>
    </row>
    <row r="34" spans="1:15" x14ac:dyDescent="0.3">
      <c r="A34" t="s">
        <v>54</v>
      </c>
      <c r="B34" s="3">
        <v>46102</v>
      </c>
      <c r="C34" t="s">
        <v>16</v>
      </c>
      <c r="D34" t="s">
        <v>22</v>
      </c>
      <c r="E34">
        <v>17</v>
      </c>
      <c r="F34">
        <v>50</v>
      </c>
      <c r="G34">
        <v>0.35</v>
      </c>
      <c r="H34">
        <v>5</v>
      </c>
      <c r="I34" t="s">
        <v>18</v>
      </c>
      <c r="J34" t="s">
        <v>19</v>
      </c>
      <c r="K34">
        <v>10</v>
      </c>
      <c r="L34">
        <f t="shared" si="0"/>
        <v>850</v>
      </c>
      <c r="M34">
        <f t="shared" si="1"/>
        <v>17.5</v>
      </c>
      <c r="N34">
        <f t="shared" si="2"/>
        <v>170</v>
      </c>
      <c r="O34" s="5">
        <f t="shared" si="3"/>
        <v>675</v>
      </c>
    </row>
    <row r="35" spans="1:15" x14ac:dyDescent="0.3">
      <c r="A35" t="s">
        <v>55</v>
      </c>
      <c r="B35" s="3">
        <v>46257</v>
      </c>
      <c r="C35" t="s">
        <v>16</v>
      </c>
      <c r="D35" t="s">
        <v>22</v>
      </c>
      <c r="E35">
        <v>17</v>
      </c>
      <c r="F35">
        <v>50</v>
      </c>
      <c r="G35">
        <v>0</v>
      </c>
      <c r="H35">
        <v>20</v>
      </c>
      <c r="I35" t="s">
        <v>18</v>
      </c>
      <c r="J35" t="s">
        <v>19</v>
      </c>
      <c r="K35">
        <v>10</v>
      </c>
      <c r="L35">
        <f t="shared" si="0"/>
        <v>850</v>
      </c>
      <c r="M35">
        <f t="shared" si="1"/>
        <v>0</v>
      </c>
      <c r="N35">
        <f t="shared" si="2"/>
        <v>170</v>
      </c>
      <c r="O35" s="5">
        <f t="shared" si="3"/>
        <v>660</v>
      </c>
    </row>
    <row r="36" spans="1:15" x14ac:dyDescent="0.3">
      <c r="A36" t="s">
        <v>56</v>
      </c>
      <c r="B36" s="3">
        <v>46343</v>
      </c>
      <c r="C36" t="s">
        <v>16</v>
      </c>
      <c r="D36" t="s">
        <v>34</v>
      </c>
      <c r="E36">
        <v>18</v>
      </c>
      <c r="F36">
        <v>50</v>
      </c>
      <c r="G36">
        <v>0.1</v>
      </c>
      <c r="H36">
        <v>15</v>
      </c>
      <c r="I36" t="s">
        <v>18</v>
      </c>
      <c r="J36" t="s">
        <v>19</v>
      </c>
      <c r="K36">
        <v>10</v>
      </c>
      <c r="L36">
        <f t="shared" si="0"/>
        <v>900</v>
      </c>
      <c r="M36">
        <f t="shared" si="1"/>
        <v>5</v>
      </c>
      <c r="N36">
        <f t="shared" si="2"/>
        <v>180</v>
      </c>
      <c r="O36" s="5">
        <f t="shared" si="3"/>
        <v>705</v>
      </c>
    </row>
    <row r="37" spans="1:15" x14ac:dyDescent="0.3">
      <c r="A37" t="s">
        <v>57</v>
      </c>
      <c r="B37" s="3">
        <v>46259</v>
      </c>
      <c r="C37" t="s">
        <v>16</v>
      </c>
      <c r="D37" t="s">
        <v>17</v>
      </c>
      <c r="E37">
        <v>22</v>
      </c>
      <c r="F37">
        <v>50</v>
      </c>
      <c r="G37">
        <v>0.35</v>
      </c>
      <c r="H37">
        <v>10</v>
      </c>
      <c r="I37" t="s">
        <v>18</v>
      </c>
      <c r="J37" t="s">
        <v>19</v>
      </c>
      <c r="K37">
        <v>10</v>
      </c>
      <c r="L37">
        <f t="shared" si="0"/>
        <v>1100</v>
      </c>
      <c r="M37">
        <f t="shared" si="1"/>
        <v>17.5</v>
      </c>
      <c r="N37">
        <f t="shared" si="2"/>
        <v>220</v>
      </c>
      <c r="O37" s="5">
        <f t="shared" si="3"/>
        <v>870</v>
      </c>
    </row>
    <row r="38" spans="1:15" x14ac:dyDescent="0.3">
      <c r="A38" t="s">
        <v>58</v>
      </c>
      <c r="B38" s="3">
        <v>46096</v>
      </c>
      <c r="C38" t="s">
        <v>16</v>
      </c>
      <c r="D38" t="s">
        <v>24</v>
      </c>
      <c r="E38">
        <v>20</v>
      </c>
      <c r="F38">
        <v>50</v>
      </c>
      <c r="G38">
        <v>0</v>
      </c>
      <c r="H38">
        <v>20</v>
      </c>
      <c r="I38" t="s">
        <v>18</v>
      </c>
      <c r="J38" t="s">
        <v>19</v>
      </c>
      <c r="K38">
        <v>10</v>
      </c>
      <c r="L38">
        <f t="shared" si="0"/>
        <v>1000</v>
      </c>
      <c r="M38">
        <f t="shared" si="1"/>
        <v>0</v>
      </c>
      <c r="N38">
        <f t="shared" si="2"/>
        <v>200</v>
      </c>
      <c r="O38" s="5">
        <f t="shared" si="3"/>
        <v>780</v>
      </c>
    </row>
    <row r="39" spans="1:15" x14ac:dyDescent="0.3">
      <c r="A39" t="s">
        <v>59</v>
      </c>
      <c r="B39" s="3">
        <v>46340</v>
      </c>
      <c r="C39" t="s">
        <v>16</v>
      </c>
      <c r="D39" t="s">
        <v>34</v>
      </c>
      <c r="E39">
        <v>24</v>
      </c>
      <c r="F39">
        <v>50</v>
      </c>
      <c r="G39">
        <v>0.1</v>
      </c>
      <c r="H39">
        <v>20</v>
      </c>
      <c r="I39" t="s">
        <v>18</v>
      </c>
      <c r="J39" t="s">
        <v>19</v>
      </c>
      <c r="K39">
        <v>10</v>
      </c>
      <c r="L39">
        <f t="shared" si="0"/>
        <v>1200</v>
      </c>
      <c r="M39">
        <f t="shared" si="1"/>
        <v>5</v>
      </c>
      <c r="N39">
        <f t="shared" si="2"/>
        <v>240</v>
      </c>
      <c r="O39" s="5">
        <f t="shared" si="3"/>
        <v>940</v>
      </c>
    </row>
    <row r="40" spans="1:15" x14ac:dyDescent="0.3">
      <c r="A40" t="s">
        <v>60</v>
      </c>
      <c r="B40" s="3">
        <v>46075</v>
      </c>
      <c r="C40" t="s">
        <v>16</v>
      </c>
      <c r="D40" t="s">
        <v>34</v>
      </c>
      <c r="E40">
        <v>2</v>
      </c>
      <c r="F40">
        <v>50</v>
      </c>
      <c r="G40">
        <v>0</v>
      </c>
      <c r="H40">
        <v>15</v>
      </c>
      <c r="I40" t="s">
        <v>18</v>
      </c>
      <c r="J40" t="s">
        <v>19</v>
      </c>
      <c r="K40">
        <v>10</v>
      </c>
      <c r="L40">
        <f t="shared" si="0"/>
        <v>100</v>
      </c>
      <c r="M40">
        <f t="shared" si="1"/>
        <v>0</v>
      </c>
      <c r="N40">
        <f t="shared" si="2"/>
        <v>20</v>
      </c>
      <c r="O40" s="5">
        <f t="shared" si="3"/>
        <v>65</v>
      </c>
    </row>
    <row r="41" spans="1:15" x14ac:dyDescent="0.3">
      <c r="A41" t="s">
        <v>61</v>
      </c>
      <c r="B41" s="3">
        <v>46377</v>
      </c>
      <c r="C41" t="s">
        <v>16</v>
      </c>
      <c r="D41" t="s">
        <v>22</v>
      </c>
      <c r="E41">
        <v>21</v>
      </c>
      <c r="F41">
        <v>50</v>
      </c>
      <c r="G41">
        <v>0</v>
      </c>
      <c r="H41">
        <v>20</v>
      </c>
      <c r="I41" t="s">
        <v>18</v>
      </c>
      <c r="J41" t="s">
        <v>19</v>
      </c>
      <c r="K41">
        <v>10</v>
      </c>
      <c r="L41">
        <f t="shared" si="0"/>
        <v>1050</v>
      </c>
      <c r="M41">
        <f t="shared" si="1"/>
        <v>0</v>
      </c>
      <c r="N41">
        <f t="shared" si="2"/>
        <v>210</v>
      </c>
      <c r="O41" s="5">
        <f t="shared" si="3"/>
        <v>820</v>
      </c>
    </row>
    <row r="42" spans="1:15" x14ac:dyDescent="0.3">
      <c r="A42" t="s">
        <v>62</v>
      </c>
      <c r="B42" s="3">
        <v>46157</v>
      </c>
      <c r="C42" t="s">
        <v>16</v>
      </c>
      <c r="D42" t="s">
        <v>24</v>
      </c>
      <c r="E42">
        <v>14</v>
      </c>
      <c r="F42">
        <v>50</v>
      </c>
      <c r="G42">
        <v>0.1</v>
      </c>
      <c r="H42">
        <v>5</v>
      </c>
      <c r="I42" t="s">
        <v>18</v>
      </c>
      <c r="J42" t="s">
        <v>19</v>
      </c>
      <c r="K42">
        <v>10</v>
      </c>
      <c r="L42">
        <f t="shared" si="0"/>
        <v>700</v>
      </c>
      <c r="M42">
        <f t="shared" si="1"/>
        <v>5</v>
      </c>
      <c r="N42">
        <f t="shared" si="2"/>
        <v>140</v>
      </c>
      <c r="O42" s="5">
        <f t="shared" si="3"/>
        <v>555</v>
      </c>
    </row>
    <row r="43" spans="1:15" x14ac:dyDescent="0.3">
      <c r="A43" t="s">
        <v>63</v>
      </c>
      <c r="B43" s="3">
        <v>46299</v>
      </c>
      <c r="C43" t="s">
        <v>16</v>
      </c>
      <c r="D43" t="s">
        <v>17</v>
      </c>
      <c r="E43">
        <v>9</v>
      </c>
      <c r="F43">
        <v>50</v>
      </c>
      <c r="G43">
        <v>0.2</v>
      </c>
      <c r="H43">
        <v>15</v>
      </c>
      <c r="I43" t="s">
        <v>18</v>
      </c>
      <c r="J43" t="s">
        <v>19</v>
      </c>
      <c r="K43">
        <v>10</v>
      </c>
      <c r="L43">
        <f t="shared" si="0"/>
        <v>450</v>
      </c>
      <c r="M43">
        <f t="shared" si="1"/>
        <v>10</v>
      </c>
      <c r="N43">
        <f t="shared" si="2"/>
        <v>90</v>
      </c>
      <c r="O43" s="5">
        <f t="shared" si="3"/>
        <v>345</v>
      </c>
    </row>
    <row r="44" spans="1:15" x14ac:dyDescent="0.3">
      <c r="A44" t="s">
        <v>64</v>
      </c>
      <c r="B44" s="3">
        <v>46059</v>
      </c>
      <c r="C44" t="s">
        <v>16</v>
      </c>
      <c r="D44" t="s">
        <v>34</v>
      </c>
      <c r="E44">
        <v>2</v>
      </c>
      <c r="F44">
        <v>50</v>
      </c>
      <c r="G44">
        <v>0</v>
      </c>
      <c r="H44">
        <v>5</v>
      </c>
      <c r="I44" t="s">
        <v>18</v>
      </c>
      <c r="J44" t="s">
        <v>19</v>
      </c>
      <c r="K44">
        <v>10</v>
      </c>
      <c r="L44">
        <f t="shared" si="0"/>
        <v>100</v>
      </c>
      <c r="M44">
        <f t="shared" si="1"/>
        <v>0</v>
      </c>
      <c r="N44">
        <f t="shared" si="2"/>
        <v>20</v>
      </c>
      <c r="O44" s="5">
        <f t="shared" si="3"/>
        <v>75</v>
      </c>
    </row>
    <row r="45" spans="1:15" x14ac:dyDescent="0.3">
      <c r="A45" t="s">
        <v>65</v>
      </c>
      <c r="B45" s="3">
        <v>46054</v>
      </c>
      <c r="C45" t="s">
        <v>16</v>
      </c>
      <c r="D45" t="s">
        <v>34</v>
      </c>
      <c r="E45">
        <v>17</v>
      </c>
      <c r="F45">
        <v>50</v>
      </c>
      <c r="G45">
        <v>0.35</v>
      </c>
      <c r="H45">
        <v>20</v>
      </c>
      <c r="I45" t="s">
        <v>18</v>
      </c>
      <c r="J45" t="s">
        <v>19</v>
      </c>
      <c r="K45">
        <v>10</v>
      </c>
      <c r="L45">
        <f t="shared" si="0"/>
        <v>850</v>
      </c>
      <c r="M45">
        <f t="shared" si="1"/>
        <v>17.5</v>
      </c>
      <c r="N45">
        <f t="shared" si="2"/>
        <v>170</v>
      </c>
      <c r="O45" s="5">
        <f t="shared" si="3"/>
        <v>660</v>
      </c>
    </row>
    <row r="46" spans="1:15" x14ac:dyDescent="0.3">
      <c r="A46" t="s">
        <v>66</v>
      </c>
      <c r="B46" s="3">
        <v>46268</v>
      </c>
      <c r="C46" t="s">
        <v>16</v>
      </c>
      <c r="D46" t="s">
        <v>22</v>
      </c>
      <c r="E46">
        <v>2</v>
      </c>
      <c r="F46">
        <v>50</v>
      </c>
      <c r="G46">
        <v>0</v>
      </c>
      <c r="H46">
        <v>20</v>
      </c>
      <c r="I46" t="s">
        <v>18</v>
      </c>
      <c r="J46" t="s">
        <v>19</v>
      </c>
      <c r="K46">
        <v>10</v>
      </c>
      <c r="L46">
        <f t="shared" si="0"/>
        <v>100</v>
      </c>
      <c r="M46">
        <f t="shared" si="1"/>
        <v>0</v>
      </c>
      <c r="N46">
        <f t="shared" si="2"/>
        <v>20</v>
      </c>
      <c r="O46" s="5">
        <f t="shared" si="3"/>
        <v>60</v>
      </c>
    </row>
    <row r="47" spans="1:15" x14ac:dyDescent="0.3">
      <c r="A47" t="s">
        <v>67</v>
      </c>
      <c r="B47" s="3">
        <v>46295</v>
      </c>
      <c r="C47" t="s">
        <v>16</v>
      </c>
      <c r="D47" t="s">
        <v>22</v>
      </c>
      <c r="E47">
        <v>1</v>
      </c>
      <c r="F47">
        <v>50</v>
      </c>
      <c r="G47">
        <v>0.1</v>
      </c>
      <c r="H47">
        <v>15</v>
      </c>
      <c r="I47" t="s">
        <v>18</v>
      </c>
      <c r="J47" t="s">
        <v>19</v>
      </c>
      <c r="K47">
        <v>10</v>
      </c>
      <c r="L47">
        <f t="shared" si="0"/>
        <v>50</v>
      </c>
      <c r="M47">
        <f t="shared" si="1"/>
        <v>5</v>
      </c>
      <c r="N47">
        <f t="shared" si="2"/>
        <v>10</v>
      </c>
      <c r="O47" s="5">
        <f t="shared" si="3"/>
        <v>25</v>
      </c>
    </row>
    <row r="48" spans="1:15" x14ac:dyDescent="0.3">
      <c r="A48" t="s">
        <v>68</v>
      </c>
      <c r="B48" s="3">
        <v>46362</v>
      </c>
      <c r="C48" t="s">
        <v>16</v>
      </c>
      <c r="D48" t="s">
        <v>17</v>
      </c>
      <c r="E48">
        <v>11</v>
      </c>
      <c r="F48">
        <v>50</v>
      </c>
      <c r="G48">
        <v>0.35</v>
      </c>
      <c r="H48">
        <v>20</v>
      </c>
      <c r="I48" t="s">
        <v>18</v>
      </c>
      <c r="J48" t="s">
        <v>19</v>
      </c>
      <c r="K48">
        <v>10</v>
      </c>
      <c r="L48">
        <f t="shared" si="0"/>
        <v>550</v>
      </c>
      <c r="M48">
        <f t="shared" si="1"/>
        <v>17.5</v>
      </c>
      <c r="N48">
        <f t="shared" si="2"/>
        <v>110</v>
      </c>
      <c r="O48" s="5">
        <f t="shared" si="3"/>
        <v>420</v>
      </c>
    </row>
    <row r="49" spans="1:15" x14ac:dyDescent="0.3">
      <c r="A49" t="s">
        <v>69</v>
      </c>
      <c r="B49" s="3">
        <v>46098</v>
      </c>
      <c r="C49" t="s">
        <v>16</v>
      </c>
      <c r="D49" t="s">
        <v>22</v>
      </c>
      <c r="E49">
        <v>2</v>
      </c>
      <c r="F49">
        <v>50</v>
      </c>
      <c r="G49">
        <v>0.1</v>
      </c>
      <c r="H49">
        <v>20</v>
      </c>
      <c r="I49" t="s">
        <v>18</v>
      </c>
      <c r="J49" t="s">
        <v>19</v>
      </c>
      <c r="K49">
        <v>10</v>
      </c>
      <c r="L49">
        <f t="shared" si="0"/>
        <v>100</v>
      </c>
      <c r="M49">
        <f t="shared" si="1"/>
        <v>5</v>
      </c>
      <c r="N49">
        <f t="shared" si="2"/>
        <v>20</v>
      </c>
      <c r="O49" s="5">
        <f t="shared" si="3"/>
        <v>60</v>
      </c>
    </row>
    <row r="50" spans="1:15" x14ac:dyDescent="0.3">
      <c r="A50" t="s">
        <v>70</v>
      </c>
      <c r="B50" s="3">
        <v>46053</v>
      </c>
      <c r="C50" t="s">
        <v>16</v>
      </c>
      <c r="D50" t="s">
        <v>22</v>
      </c>
      <c r="E50">
        <v>21</v>
      </c>
      <c r="F50">
        <v>50</v>
      </c>
      <c r="G50">
        <v>0</v>
      </c>
      <c r="H50">
        <v>20</v>
      </c>
      <c r="I50" t="s">
        <v>18</v>
      </c>
      <c r="J50" t="s">
        <v>19</v>
      </c>
      <c r="K50">
        <v>10</v>
      </c>
      <c r="L50">
        <f t="shared" si="0"/>
        <v>1050</v>
      </c>
      <c r="M50">
        <f t="shared" si="1"/>
        <v>0</v>
      </c>
      <c r="N50">
        <f t="shared" si="2"/>
        <v>210</v>
      </c>
      <c r="O50" s="5">
        <f t="shared" si="3"/>
        <v>820</v>
      </c>
    </row>
    <row r="51" spans="1:15" x14ac:dyDescent="0.3">
      <c r="A51" t="s">
        <v>71</v>
      </c>
      <c r="B51" s="3">
        <v>46202</v>
      </c>
      <c r="C51" t="s">
        <v>16</v>
      </c>
      <c r="D51" t="s">
        <v>34</v>
      </c>
      <c r="E51">
        <v>21</v>
      </c>
      <c r="F51">
        <v>50</v>
      </c>
      <c r="G51">
        <v>0</v>
      </c>
      <c r="H51">
        <v>5</v>
      </c>
      <c r="I51" t="s">
        <v>18</v>
      </c>
      <c r="J51" t="s">
        <v>19</v>
      </c>
      <c r="K51">
        <v>10</v>
      </c>
      <c r="L51">
        <f t="shared" si="0"/>
        <v>1050</v>
      </c>
      <c r="M51">
        <f t="shared" si="1"/>
        <v>0</v>
      </c>
      <c r="N51">
        <f t="shared" si="2"/>
        <v>210</v>
      </c>
      <c r="O51" s="5">
        <f t="shared" si="3"/>
        <v>835</v>
      </c>
    </row>
    <row r="52" spans="1:15" x14ac:dyDescent="0.3">
      <c r="A52" t="s">
        <v>72</v>
      </c>
      <c r="B52" s="3">
        <v>46090</v>
      </c>
      <c r="C52" t="s">
        <v>16</v>
      </c>
      <c r="D52" t="s">
        <v>22</v>
      </c>
      <c r="E52">
        <v>5</v>
      </c>
      <c r="F52">
        <v>50</v>
      </c>
      <c r="G52">
        <v>0.2</v>
      </c>
      <c r="H52">
        <v>15</v>
      </c>
      <c r="I52" t="s">
        <v>18</v>
      </c>
      <c r="J52" t="s">
        <v>19</v>
      </c>
      <c r="K52">
        <v>10</v>
      </c>
      <c r="L52">
        <f t="shared" si="0"/>
        <v>250</v>
      </c>
      <c r="M52">
        <f t="shared" si="1"/>
        <v>10</v>
      </c>
      <c r="N52">
        <f t="shared" si="2"/>
        <v>50</v>
      </c>
      <c r="O52" s="5">
        <f t="shared" si="3"/>
        <v>185</v>
      </c>
    </row>
    <row r="53" spans="1:15" x14ac:dyDescent="0.3">
      <c r="A53" t="s">
        <v>73</v>
      </c>
      <c r="B53" s="3">
        <v>46159</v>
      </c>
      <c r="C53" t="s">
        <v>16</v>
      </c>
      <c r="D53" t="s">
        <v>34</v>
      </c>
      <c r="E53">
        <v>17</v>
      </c>
      <c r="F53">
        <v>50</v>
      </c>
      <c r="G53">
        <v>0</v>
      </c>
      <c r="H53">
        <v>20</v>
      </c>
      <c r="I53" t="s">
        <v>18</v>
      </c>
      <c r="J53" t="s">
        <v>19</v>
      </c>
      <c r="K53">
        <v>10</v>
      </c>
      <c r="L53">
        <f t="shared" si="0"/>
        <v>850</v>
      </c>
      <c r="M53">
        <f t="shared" si="1"/>
        <v>0</v>
      </c>
      <c r="N53">
        <f t="shared" si="2"/>
        <v>170</v>
      </c>
      <c r="O53" s="5">
        <f t="shared" si="3"/>
        <v>660</v>
      </c>
    </row>
    <row r="54" spans="1:15" x14ac:dyDescent="0.3">
      <c r="A54" t="s">
        <v>74</v>
      </c>
      <c r="B54" s="3">
        <v>46273</v>
      </c>
      <c r="C54" t="s">
        <v>16</v>
      </c>
      <c r="D54" t="s">
        <v>22</v>
      </c>
      <c r="E54">
        <v>20</v>
      </c>
      <c r="F54">
        <v>50</v>
      </c>
      <c r="G54">
        <v>0.1</v>
      </c>
      <c r="H54">
        <v>15</v>
      </c>
      <c r="I54" t="s">
        <v>18</v>
      </c>
      <c r="J54" t="s">
        <v>19</v>
      </c>
      <c r="K54">
        <v>10</v>
      </c>
      <c r="L54">
        <f t="shared" si="0"/>
        <v>1000</v>
      </c>
      <c r="M54">
        <f t="shared" si="1"/>
        <v>5</v>
      </c>
      <c r="N54">
        <f t="shared" si="2"/>
        <v>200</v>
      </c>
      <c r="O54" s="5">
        <f t="shared" si="3"/>
        <v>785</v>
      </c>
    </row>
    <row r="55" spans="1:15" x14ac:dyDescent="0.3">
      <c r="A55" t="s">
        <v>75</v>
      </c>
      <c r="B55" s="3">
        <v>46117</v>
      </c>
      <c r="C55" t="s">
        <v>16</v>
      </c>
      <c r="D55" t="s">
        <v>22</v>
      </c>
      <c r="E55">
        <v>16</v>
      </c>
      <c r="F55">
        <v>50</v>
      </c>
      <c r="G55">
        <v>0</v>
      </c>
      <c r="H55">
        <v>20</v>
      </c>
      <c r="I55" t="s">
        <v>18</v>
      </c>
      <c r="J55" t="s">
        <v>19</v>
      </c>
      <c r="K55">
        <v>10</v>
      </c>
      <c r="L55">
        <f t="shared" si="0"/>
        <v>800</v>
      </c>
      <c r="M55">
        <f t="shared" si="1"/>
        <v>0</v>
      </c>
      <c r="N55">
        <f t="shared" si="2"/>
        <v>160</v>
      </c>
      <c r="O55" s="5">
        <f t="shared" si="3"/>
        <v>620</v>
      </c>
    </row>
    <row r="56" spans="1:15" x14ac:dyDescent="0.3">
      <c r="A56" t="s">
        <v>76</v>
      </c>
      <c r="B56" s="3">
        <v>46109</v>
      </c>
      <c r="C56" t="s">
        <v>16</v>
      </c>
      <c r="D56" t="s">
        <v>34</v>
      </c>
      <c r="E56">
        <v>11</v>
      </c>
      <c r="F56">
        <v>50</v>
      </c>
      <c r="G56">
        <v>0.2</v>
      </c>
      <c r="H56">
        <v>5</v>
      </c>
      <c r="I56" t="s">
        <v>18</v>
      </c>
      <c r="J56" t="s">
        <v>19</v>
      </c>
      <c r="K56">
        <v>10</v>
      </c>
      <c r="L56">
        <f t="shared" si="0"/>
        <v>550</v>
      </c>
      <c r="M56">
        <f t="shared" si="1"/>
        <v>10</v>
      </c>
      <c r="N56">
        <f t="shared" si="2"/>
        <v>110</v>
      </c>
      <c r="O56" s="5">
        <f t="shared" si="3"/>
        <v>435</v>
      </c>
    </row>
    <row r="57" spans="1:15" x14ac:dyDescent="0.3">
      <c r="A57" t="s">
        <v>77</v>
      </c>
      <c r="B57" s="3">
        <v>46370</v>
      </c>
      <c r="C57" t="s">
        <v>16</v>
      </c>
      <c r="D57" t="s">
        <v>34</v>
      </c>
      <c r="E57">
        <v>5</v>
      </c>
      <c r="F57">
        <v>50</v>
      </c>
      <c r="G57">
        <v>0.1</v>
      </c>
      <c r="H57">
        <v>5</v>
      </c>
      <c r="I57" t="s">
        <v>18</v>
      </c>
      <c r="J57" t="s">
        <v>19</v>
      </c>
      <c r="K57">
        <v>10</v>
      </c>
      <c r="L57">
        <f t="shared" si="0"/>
        <v>250</v>
      </c>
      <c r="M57">
        <f t="shared" si="1"/>
        <v>5</v>
      </c>
      <c r="N57">
        <f t="shared" si="2"/>
        <v>50</v>
      </c>
      <c r="O57" s="5">
        <f t="shared" si="3"/>
        <v>195</v>
      </c>
    </row>
    <row r="58" spans="1:15" x14ac:dyDescent="0.3">
      <c r="A58" t="s">
        <v>78</v>
      </c>
      <c r="B58" s="3">
        <v>46328</v>
      </c>
      <c r="C58" t="s">
        <v>16</v>
      </c>
      <c r="D58" t="s">
        <v>17</v>
      </c>
      <c r="E58">
        <v>19</v>
      </c>
      <c r="F58">
        <v>50</v>
      </c>
      <c r="G58">
        <v>0.1</v>
      </c>
      <c r="H58">
        <v>15</v>
      </c>
      <c r="I58" t="s">
        <v>18</v>
      </c>
      <c r="J58" t="s">
        <v>19</v>
      </c>
      <c r="K58">
        <v>10</v>
      </c>
      <c r="L58">
        <f t="shared" si="0"/>
        <v>950</v>
      </c>
      <c r="M58">
        <f t="shared" si="1"/>
        <v>5</v>
      </c>
      <c r="N58">
        <f t="shared" si="2"/>
        <v>190</v>
      </c>
      <c r="O58" s="5">
        <f t="shared" si="3"/>
        <v>745</v>
      </c>
    </row>
    <row r="59" spans="1:15" x14ac:dyDescent="0.3">
      <c r="A59" t="s">
        <v>79</v>
      </c>
      <c r="B59" s="3">
        <v>46378</v>
      </c>
      <c r="C59" t="s">
        <v>16</v>
      </c>
      <c r="D59" t="s">
        <v>17</v>
      </c>
      <c r="E59">
        <v>25</v>
      </c>
      <c r="F59">
        <v>50</v>
      </c>
      <c r="G59">
        <v>0.2</v>
      </c>
      <c r="H59">
        <v>5</v>
      </c>
      <c r="I59" t="s">
        <v>18</v>
      </c>
      <c r="J59" t="s">
        <v>19</v>
      </c>
      <c r="K59">
        <v>10</v>
      </c>
      <c r="L59">
        <f t="shared" si="0"/>
        <v>1250</v>
      </c>
      <c r="M59">
        <f t="shared" si="1"/>
        <v>10</v>
      </c>
      <c r="N59">
        <f t="shared" si="2"/>
        <v>250</v>
      </c>
      <c r="O59" s="5">
        <f t="shared" si="3"/>
        <v>995</v>
      </c>
    </row>
    <row r="60" spans="1:15" x14ac:dyDescent="0.3">
      <c r="A60" t="s">
        <v>80</v>
      </c>
      <c r="B60" s="3">
        <v>46316</v>
      </c>
      <c r="C60" t="s">
        <v>16</v>
      </c>
      <c r="D60" t="s">
        <v>17</v>
      </c>
      <c r="E60">
        <v>25</v>
      </c>
      <c r="F60">
        <v>50</v>
      </c>
      <c r="G60">
        <v>0</v>
      </c>
      <c r="H60">
        <v>5</v>
      </c>
      <c r="I60" t="s">
        <v>18</v>
      </c>
      <c r="J60" t="s">
        <v>19</v>
      </c>
      <c r="K60">
        <v>10</v>
      </c>
      <c r="L60">
        <f t="shared" si="0"/>
        <v>1250</v>
      </c>
      <c r="M60">
        <f t="shared" si="1"/>
        <v>0</v>
      </c>
      <c r="N60">
        <f t="shared" si="2"/>
        <v>250</v>
      </c>
      <c r="O60" s="5">
        <f t="shared" si="3"/>
        <v>995</v>
      </c>
    </row>
    <row r="61" spans="1:15" x14ac:dyDescent="0.3">
      <c r="A61" t="s">
        <v>81</v>
      </c>
      <c r="B61" s="3">
        <v>46334</v>
      </c>
      <c r="C61" t="s">
        <v>16</v>
      </c>
      <c r="D61" t="s">
        <v>34</v>
      </c>
      <c r="E61">
        <v>7</v>
      </c>
      <c r="F61">
        <v>50</v>
      </c>
      <c r="G61">
        <v>0.1</v>
      </c>
      <c r="H61">
        <v>10</v>
      </c>
      <c r="I61" t="s">
        <v>18</v>
      </c>
      <c r="J61" t="s">
        <v>19</v>
      </c>
      <c r="K61">
        <v>10</v>
      </c>
      <c r="L61">
        <f t="shared" si="0"/>
        <v>350</v>
      </c>
      <c r="M61">
        <f t="shared" si="1"/>
        <v>5</v>
      </c>
      <c r="N61">
        <f t="shared" si="2"/>
        <v>70</v>
      </c>
      <c r="O61" s="5">
        <f t="shared" si="3"/>
        <v>270</v>
      </c>
    </row>
    <row r="62" spans="1:15" x14ac:dyDescent="0.3">
      <c r="A62" t="s">
        <v>82</v>
      </c>
      <c r="B62" s="3">
        <v>46056</v>
      </c>
      <c r="C62" t="s">
        <v>16</v>
      </c>
      <c r="D62" t="s">
        <v>34</v>
      </c>
      <c r="E62">
        <v>23</v>
      </c>
      <c r="F62">
        <v>50</v>
      </c>
      <c r="G62">
        <v>0</v>
      </c>
      <c r="H62">
        <v>15</v>
      </c>
      <c r="I62" t="s">
        <v>18</v>
      </c>
      <c r="J62" t="s">
        <v>19</v>
      </c>
      <c r="K62">
        <v>10</v>
      </c>
      <c r="L62">
        <f t="shared" si="0"/>
        <v>1150</v>
      </c>
      <c r="M62">
        <f t="shared" si="1"/>
        <v>0</v>
      </c>
      <c r="N62">
        <f t="shared" si="2"/>
        <v>230</v>
      </c>
      <c r="O62" s="5">
        <f t="shared" si="3"/>
        <v>905</v>
      </c>
    </row>
    <row r="63" spans="1:15" x14ac:dyDescent="0.3">
      <c r="A63" t="s">
        <v>83</v>
      </c>
      <c r="B63" s="3">
        <v>46039</v>
      </c>
      <c r="C63" t="s">
        <v>16</v>
      </c>
      <c r="D63" t="s">
        <v>24</v>
      </c>
      <c r="E63">
        <v>12</v>
      </c>
      <c r="F63">
        <v>50</v>
      </c>
      <c r="G63">
        <v>0.1</v>
      </c>
      <c r="H63">
        <v>5</v>
      </c>
      <c r="I63" t="s">
        <v>18</v>
      </c>
      <c r="J63" t="s">
        <v>19</v>
      </c>
      <c r="K63">
        <v>10</v>
      </c>
      <c r="L63">
        <f t="shared" si="0"/>
        <v>600</v>
      </c>
      <c r="M63">
        <f t="shared" si="1"/>
        <v>5</v>
      </c>
      <c r="N63">
        <f t="shared" si="2"/>
        <v>120</v>
      </c>
      <c r="O63" s="5">
        <f t="shared" si="3"/>
        <v>475</v>
      </c>
    </row>
    <row r="64" spans="1:15" x14ac:dyDescent="0.3">
      <c r="A64" t="s">
        <v>84</v>
      </c>
      <c r="B64" s="3">
        <v>46287</v>
      </c>
      <c r="C64" t="s">
        <v>16</v>
      </c>
      <c r="D64" t="s">
        <v>34</v>
      </c>
      <c r="E64">
        <v>4</v>
      </c>
      <c r="F64">
        <v>50</v>
      </c>
      <c r="G64">
        <v>0.1</v>
      </c>
      <c r="H64">
        <v>20</v>
      </c>
      <c r="I64" t="s">
        <v>18</v>
      </c>
      <c r="J64" t="s">
        <v>19</v>
      </c>
      <c r="K64">
        <v>10</v>
      </c>
      <c r="L64">
        <f t="shared" si="0"/>
        <v>200</v>
      </c>
      <c r="M64">
        <f t="shared" si="1"/>
        <v>5</v>
      </c>
      <c r="N64">
        <f t="shared" si="2"/>
        <v>40</v>
      </c>
      <c r="O64" s="5">
        <f t="shared" si="3"/>
        <v>140</v>
      </c>
    </row>
    <row r="65" spans="1:15" x14ac:dyDescent="0.3">
      <c r="A65" t="s">
        <v>85</v>
      </c>
      <c r="B65" s="3">
        <v>46268</v>
      </c>
      <c r="C65" t="s">
        <v>16</v>
      </c>
      <c r="D65" t="s">
        <v>24</v>
      </c>
      <c r="E65">
        <v>15</v>
      </c>
      <c r="F65">
        <v>50</v>
      </c>
      <c r="G65">
        <v>0.1</v>
      </c>
      <c r="H65">
        <v>10</v>
      </c>
      <c r="I65" t="s">
        <v>18</v>
      </c>
      <c r="J65" t="s">
        <v>19</v>
      </c>
      <c r="K65">
        <v>10</v>
      </c>
      <c r="L65">
        <f t="shared" si="0"/>
        <v>750</v>
      </c>
      <c r="M65">
        <f t="shared" si="1"/>
        <v>5</v>
      </c>
      <c r="N65">
        <f t="shared" si="2"/>
        <v>150</v>
      </c>
      <c r="O65" s="5">
        <f t="shared" si="3"/>
        <v>590</v>
      </c>
    </row>
    <row r="66" spans="1:15" x14ac:dyDescent="0.3">
      <c r="A66" t="s">
        <v>86</v>
      </c>
      <c r="B66" s="3">
        <v>46083</v>
      </c>
      <c r="C66" t="s">
        <v>16</v>
      </c>
      <c r="D66" t="s">
        <v>17</v>
      </c>
      <c r="E66">
        <v>11</v>
      </c>
      <c r="F66">
        <v>50</v>
      </c>
      <c r="G66">
        <v>0</v>
      </c>
      <c r="H66">
        <v>10</v>
      </c>
      <c r="I66" t="s">
        <v>18</v>
      </c>
      <c r="J66" t="s">
        <v>19</v>
      </c>
      <c r="K66">
        <v>10</v>
      </c>
      <c r="L66">
        <f t="shared" ref="L66:L129" si="4">E66*F66</f>
        <v>550</v>
      </c>
      <c r="M66">
        <f t="shared" ref="M66:M129" si="5">F66*G66</f>
        <v>0</v>
      </c>
      <c r="N66">
        <f t="shared" ref="N66:N129" si="6">E66*K66</f>
        <v>110</v>
      </c>
      <c r="O66" s="5">
        <f t="shared" ref="O66:O129" si="7">L66-H66-N66</f>
        <v>430</v>
      </c>
    </row>
    <row r="67" spans="1:15" x14ac:dyDescent="0.3">
      <c r="A67" t="s">
        <v>87</v>
      </c>
      <c r="B67" s="3">
        <v>46038</v>
      </c>
      <c r="C67" t="s">
        <v>16</v>
      </c>
      <c r="D67" t="s">
        <v>24</v>
      </c>
      <c r="E67">
        <v>12</v>
      </c>
      <c r="F67">
        <v>50</v>
      </c>
      <c r="G67">
        <v>0.1</v>
      </c>
      <c r="H67">
        <v>10</v>
      </c>
      <c r="I67" t="s">
        <v>18</v>
      </c>
      <c r="J67" t="s">
        <v>19</v>
      </c>
      <c r="K67">
        <v>10</v>
      </c>
      <c r="L67">
        <f t="shared" si="4"/>
        <v>600</v>
      </c>
      <c r="M67">
        <f t="shared" si="5"/>
        <v>5</v>
      </c>
      <c r="N67">
        <f t="shared" si="6"/>
        <v>120</v>
      </c>
      <c r="O67" s="5">
        <f t="shared" si="7"/>
        <v>470</v>
      </c>
    </row>
    <row r="68" spans="1:15" x14ac:dyDescent="0.3">
      <c r="A68" t="s">
        <v>88</v>
      </c>
      <c r="B68" s="3">
        <v>46344</v>
      </c>
      <c r="C68" t="s">
        <v>16</v>
      </c>
      <c r="D68" t="s">
        <v>22</v>
      </c>
      <c r="E68">
        <v>6</v>
      </c>
      <c r="F68">
        <v>50</v>
      </c>
      <c r="G68">
        <v>0.35</v>
      </c>
      <c r="H68">
        <v>20</v>
      </c>
      <c r="I68" t="s">
        <v>18</v>
      </c>
      <c r="J68" t="s">
        <v>19</v>
      </c>
      <c r="K68">
        <v>10</v>
      </c>
      <c r="L68">
        <f t="shared" si="4"/>
        <v>300</v>
      </c>
      <c r="M68">
        <f t="shared" si="5"/>
        <v>17.5</v>
      </c>
      <c r="N68">
        <f t="shared" si="6"/>
        <v>60</v>
      </c>
      <c r="O68" s="5">
        <f t="shared" si="7"/>
        <v>220</v>
      </c>
    </row>
    <row r="69" spans="1:15" x14ac:dyDescent="0.3">
      <c r="A69" t="s">
        <v>89</v>
      </c>
      <c r="B69" s="3">
        <v>46334</v>
      </c>
      <c r="C69" t="s">
        <v>16</v>
      </c>
      <c r="D69" t="s">
        <v>34</v>
      </c>
      <c r="E69">
        <v>1</v>
      </c>
      <c r="F69">
        <v>50</v>
      </c>
      <c r="G69">
        <v>0.35</v>
      </c>
      <c r="H69">
        <v>15</v>
      </c>
      <c r="I69" t="s">
        <v>18</v>
      </c>
      <c r="J69" t="s">
        <v>19</v>
      </c>
      <c r="K69">
        <v>10</v>
      </c>
      <c r="L69">
        <f t="shared" si="4"/>
        <v>50</v>
      </c>
      <c r="M69">
        <f t="shared" si="5"/>
        <v>17.5</v>
      </c>
      <c r="N69">
        <f t="shared" si="6"/>
        <v>10</v>
      </c>
      <c r="O69" s="5">
        <f t="shared" si="7"/>
        <v>25</v>
      </c>
    </row>
    <row r="70" spans="1:15" x14ac:dyDescent="0.3">
      <c r="A70" t="s">
        <v>90</v>
      </c>
      <c r="B70" s="3">
        <v>46154</v>
      </c>
      <c r="C70" t="s">
        <v>16</v>
      </c>
      <c r="D70" t="s">
        <v>17</v>
      </c>
      <c r="E70">
        <v>18</v>
      </c>
      <c r="F70">
        <v>50</v>
      </c>
      <c r="G70">
        <v>0.35</v>
      </c>
      <c r="H70">
        <v>20</v>
      </c>
      <c r="I70" t="s">
        <v>18</v>
      </c>
      <c r="J70" t="s">
        <v>19</v>
      </c>
      <c r="K70">
        <v>10</v>
      </c>
      <c r="L70">
        <f t="shared" si="4"/>
        <v>900</v>
      </c>
      <c r="M70">
        <f t="shared" si="5"/>
        <v>17.5</v>
      </c>
      <c r="N70">
        <f t="shared" si="6"/>
        <v>180</v>
      </c>
      <c r="O70" s="5">
        <f t="shared" si="7"/>
        <v>700</v>
      </c>
    </row>
    <row r="71" spans="1:15" x14ac:dyDescent="0.3">
      <c r="A71" t="s">
        <v>91</v>
      </c>
      <c r="B71" s="3">
        <v>46028</v>
      </c>
      <c r="C71" t="s">
        <v>16</v>
      </c>
      <c r="D71" t="s">
        <v>24</v>
      </c>
      <c r="E71">
        <v>6</v>
      </c>
      <c r="F71">
        <v>50</v>
      </c>
      <c r="G71">
        <v>0.2</v>
      </c>
      <c r="H71">
        <v>20</v>
      </c>
      <c r="I71" t="s">
        <v>18</v>
      </c>
      <c r="J71" t="s">
        <v>19</v>
      </c>
      <c r="K71">
        <v>10</v>
      </c>
      <c r="L71">
        <f t="shared" si="4"/>
        <v>300</v>
      </c>
      <c r="M71">
        <f t="shared" si="5"/>
        <v>10</v>
      </c>
      <c r="N71">
        <f t="shared" si="6"/>
        <v>60</v>
      </c>
      <c r="O71" s="5">
        <f t="shared" si="7"/>
        <v>220</v>
      </c>
    </row>
    <row r="72" spans="1:15" x14ac:dyDescent="0.3">
      <c r="A72" t="s">
        <v>92</v>
      </c>
      <c r="B72" s="3">
        <v>46160</v>
      </c>
      <c r="C72" t="s">
        <v>16</v>
      </c>
      <c r="D72" t="s">
        <v>24</v>
      </c>
      <c r="E72">
        <v>9</v>
      </c>
      <c r="F72">
        <v>50</v>
      </c>
      <c r="G72">
        <v>0.1</v>
      </c>
      <c r="H72">
        <v>10</v>
      </c>
      <c r="I72" t="s">
        <v>18</v>
      </c>
      <c r="J72" t="s">
        <v>19</v>
      </c>
      <c r="K72">
        <v>10</v>
      </c>
      <c r="L72">
        <f t="shared" si="4"/>
        <v>450</v>
      </c>
      <c r="M72">
        <f t="shared" si="5"/>
        <v>5</v>
      </c>
      <c r="N72">
        <f t="shared" si="6"/>
        <v>90</v>
      </c>
      <c r="O72" s="5">
        <f t="shared" si="7"/>
        <v>350</v>
      </c>
    </row>
    <row r="73" spans="1:15" x14ac:dyDescent="0.3">
      <c r="A73" t="s">
        <v>93</v>
      </c>
      <c r="B73" s="3">
        <v>46225</v>
      </c>
      <c r="C73" t="s">
        <v>16</v>
      </c>
      <c r="D73" t="s">
        <v>17</v>
      </c>
      <c r="E73">
        <v>18</v>
      </c>
      <c r="F73">
        <v>50</v>
      </c>
      <c r="G73">
        <v>0.35</v>
      </c>
      <c r="H73">
        <v>10</v>
      </c>
      <c r="I73" t="s">
        <v>18</v>
      </c>
      <c r="J73" t="s">
        <v>19</v>
      </c>
      <c r="K73">
        <v>10</v>
      </c>
      <c r="L73">
        <f t="shared" si="4"/>
        <v>900</v>
      </c>
      <c r="M73">
        <f t="shared" si="5"/>
        <v>17.5</v>
      </c>
      <c r="N73">
        <f t="shared" si="6"/>
        <v>180</v>
      </c>
      <c r="O73" s="5">
        <f t="shared" si="7"/>
        <v>710</v>
      </c>
    </row>
    <row r="74" spans="1:15" x14ac:dyDescent="0.3">
      <c r="A74" t="s">
        <v>94</v>
      </c>
      <c r="B74" s="3">
        <v>46181</v>
      </c>
      <c r="C74" t="s">
        <v>16</v>
      </c>
      <c r="D74" t="s">
        <v>22</v>
      </c>
      <c r="E74">
        <v>2</v>
      </c>
      <c r="F74">
        <v>50</v>
      </c>
      <c r="G74">
        <v>0.1</v>
      </c>
      <c r="H74">
        <v>5</v>
      </c>
      <c r="I74" t="s">
        <v>18</v>
      </c>
      <c r="J74" t="s">
        <v>19</v>
      </c>
      <c r="K74">
        <v>10</v>
      </c>
      <c r="L74">
        <f t="shared" si="4"/>
        <v>100</v>
      </c>
      <c r="M74">
        <f t="shared" si="5"/>
        <v>5</v>
      </c>
      <c r="N74">
        <f t="shared" si="6"/>
        <v>20</v>
      </c>
      <c r="O74" s="5">
        <f t="shared" si="7"/>
        <v>75</v>
      </c>
    </row>
    <row r="75" spans="1:15" x14ac:dyDescent="0.3">
      <c r="A75" t="s">
        <v>95</v>
      </c>
      <c r="B75" s="3">
        <v>46327</v>
      </c>
      <c r="C75" t="s">
        <v>16</v>
      </c>
      <c r="D75" t="s">
        <v>22</v>
      </c>
      <c r="E75">
        <v>4</v>
      </c>
      <c r="F75">
        <v>50</v>
      </c>
      <c r="G75">
        <v>0.35</v>
      </c>
      <c r="H75">
        <v>10</v>
      </c>
      <c r="I75" t="s">
        <v>18</v>
      </c>
      <c r="J75" t="s">
        <v>19</v>
      </c>
      <c r="K75">
        <v>10</v>
      </c>
      <c r="L75">
        <f t="shared" si="4"/>
        <v>200</v>
      </c>
      <c r="M75">
        <f t="shared" si="5"/>
        <v>17.5</v>
      </c>
      <c r="N75">
        <f t="shared" si="6"/>
        <v>40</v>
      </c>
      <c r="O75" s="5">
        <f t="shared" si="7"/>
        <v>150</v>
      </c>
    </row>
    <row r="76" spans="1:15" x14ac:dyDescent="0.3">
      <c r="A76" t="s">
        <v>96</v>
      </c>
      <c r="B76" s="3">
        <v>46130</v>
      </c>
      <c r="C76" t="s">
        <v>16</v>
      </c>
      <c r="D76" t="s">
        <v>24</v>
      </c>
      <c r="E76">
        <v>1</v>
      </c>
      <c r="F76">
        <v>50</v>
      </c>
      <c r="G76">
        <v>0</v>
      </c>
      <c r="H76">
        <v>15</v>
      </c>
      <c r="I76" t="s">
        <v>18</v>
      </c>
      <c r="J76" t="s">
        <v>19</v>
      </c>
      <c r="K76">
        <v>10</v>
      </c>
      <c r="L76">
        <f t="shared" si="4"/>
        <v>50</v>
      </c>
      <c r="M76">
        <f t="shared" si="5"/>
        <v>0</v>
      </c>
      <c r="N76">
        <f t="shared" si="6"/>
        <v>10</v>
      </c>
      <c r="O76" s="5">
        <f t="shared" si="7"/>
        <v>25</v>
      </c>
    </row>
    <row r="77" spans="1:15" x14ac:dyDescent="0.3">
      <c r="A77" t="s">
        <v>97</v>
      </c>
      <c r="B77" s="3">
        <v>46231</v>
      </c>
      <c r="C77" t="s">
        <v>16</v>
      </c>
      <c r="D77" t="s">
        <v>24</v>
      </c>
      <c r="E77">
        <v>12</v>
      </c>
      <c r="F77">
        <v>50</v>
      </c>
      <c r="G77">
        <v>0.1</v>
      </c>
      <c r="H77">
        <v>20</v>
      </c>
      <c r="I77" t="s">
        <v>18</v>
      </c>
      <c r="J77" t="s">
        <v>19</v>
      </c>
      <c r="K77">
        <v>10</v>
      </c>
      <c r="L77">
        <f t="shared" si="4"/>
        <v>600</v>
      </c>
      <c r="M77">
        <f t="shared" si="5"/>
        <v>5</v>
      </c>
      <c r="N77">
        <f t="shared" si="6"/>
        <v>120</v>
      </c>
      <c r="O77" s="5">
        <f t="shared" si="7"/>
        <v>460</v>
      </c>
    </row>
    <row r="78" spans="1:15" x14ac:dyDescent="0.3">
      <c r="A78" t="s">
        <v>98</v>
      </c>
      <c r="B78" s="3">
        <v>46346</v>
      </c>
      <c r="C78" t="s">
        <v>16</v>
      </c>
      <c r="D78" t="s">
        <v>22</v>
      </c>
      <c r="E78">
        <v>4</v>
      </c>
      <c r="F78">
        <v>50</v>
      </c>
      <c r="G78">
        <v>0</v>
      </c>
      <c r="H78">
        <v>15</v>
      </c>
      <c r="I78" t="s">
        <v>18</v>
      </c>
      <c r="J78" t="s">
        <v>19</v>
      </c>
      <c r="K78">
        <v>10</v>
      </c>
      <c r="L78">
        <f t="shared" si="4"/>
        <v>200</v>
      </c>
      <c r="M78">
        <f t="shared" si="5"/>
        <v>0</v>
      </c>
      <c r="N78">
        <f t="shared" si="6"/>
        <v>40</v>
      </c>
      <c r="O78" s="5">
        <f t="shared" si="7"/>
        <v>145</v>
      </c>
    </row>
    <row r="79" spans="1:15" x14ac:dyDescent="0.3">
      <c r="A79" t="s">
        <v>99</v>
      </c>
      <c r="B79" s="3">
        <v>46046</v>
      </c>
      <c r="C79" t="s">
        <v>16</v>
      </c>
      <c r="D79" t="s">
        <v>17</v>
      </c>
      <c r="E79">
        <v>20</v>
      </c>
      <c r="F79">
        <v>50</v>
      </c>
      <c r="G79">
        <v>0.1</v>
      </c>
      <c r="H79">
        <v>5</v>
      </c>
      <c r="I79" t="s">
        <v>18</v>
      </c>
      <c r="J79" t="s">
        <v>19</v>
      </c>
      <c r="K79">
        <v>10</v>
      </c>
      <c r="L79">
        <f t="shared" si="4"/>
        <v>1000</v>
      </c>
      <c r="M79">
        <f t="shared" si="5"/>
        <v>5</v>
      </c>
      <c r="N79">
        <f t="shared" si="6"/>
        <v>200</v>
      </c>
      <c r="O79" s="5">
        <f t="shared" si="7"/>
        <v>795</v>
      </c>
    </row>
    <row r="80" spans="1:15" x14ac:dyDescent="0.3">
      <c r="A80" t="s">
        <v>100</v>
      </c>
      <c r="B80" s="3">
        <v>46288</v>
      </c>
      <c r="C80" t="s">
        <v>16</v>
      </c>
      <c r="D80" t="s">
        <v>24</v>
      </c>
      <c r="E80">
        <v>2</v>
      </c>
      <c r="F80">
        <v>50</v>
      </c>
      <c r="G80">
        <v>0.1</v>
      </c>
      <c r="H80">
        <v>5</v>
      </c>
      <c r="I80" t="s">
        <v>18</v>
      </c>
      <c r="J80" t="s">
        <v>19</v>
      </c>
      <c r="K80">
        <v>10</v>
      </c>
      <c r="L80">
        <f t="shared" si="4"/>
        <v>100</v>
      </c>
      <c r="M80">
        <f t="shared" si="5"/>
        <v>5</v>
      </c>
      <c r="N80">
        <f t="shared" si="6"/>
        <v>20</v>
      </c>
      <c r="O80" s="5">
        <f t="shared" si="7"/>
        <v>75</v>
      </c>
    </row>
    <row r="81" spans="1:15" x14ac:dyDescent="0.3">
      <c r="A81" t="s">
        <v>101</v>
      </c>
      <c r="B81" s="3">
        <v>46071</v>
      </c>
      <c r="C81" t="s">
        <v>16</v>
      </c>
      <c r="D81" t="s">
        <v>24</v>
      </c>
      <c r="E81">
        <v>9</v>
      </c>
      <c r="F81">
        <v>50</v>
      </c>
      <c r="G81">
        <v>0.2</v>
      </c>
      <c r="H81">
        <v>10</v>
      </c>
      <c r="I81" t="s">
        <v>18</v>
      </c>
      <c r="J81" t="s">
        <v>19</v>
      </c>
      <c r="K81">
        <v>10</v>
      </c>
      <c r="L81">
        <f t="shared" si="4"/>
        <v>450</v>
      </c>
      <c r="M81">
        <f t="shared" si="5"/>
        <v>10</v>
      </c>
      <c r="N81">
        <f t="shared" si="6"/>
        <v>90</v>
      </c>
      <c r="O81" s="5">
        <f t="shared" si="7"/>
        <v>350</v>
      </c>
    </row>
    <row r="82" spans="1:15" x14ac:dyDescent="0.3">
      <c r="A82" t="s">
        <v>102</v>
      </c>
      <c r="B82" s="3">
        <v>46248</v>
      </c>
      <c r="C82" t="s">
        <v>16</v>
      </c>
      <c r="D82" t="s">
        <v>22</v>
      </c>
      <c r="E82">
        <v>2</v>
      </c>
      <c r="F82">
        <v>50</v>
      </c>
      <c r="G82">
        <v>0.1</v>
      </c>
      <c r="H82">
        <v>15</v>
      </c>
      <c r="I82" t="s">
        <v>18</v>
      </c>
      <c r="J82" t="s">
        <v>19</v>
      </c>
      <c r="K82">
        <v>10</v>
      </c>
      <c r="L82">
        <f t="shared" si="4"/>
        <v>100</v>
      </c>
      <c r="M82">
        <f t="shared" si="5"/>
        <v>5</v>
      </c>
      <c r="N82">
        <f t="shared" si="6"/>
        <v>20</v>
      </c>
      <c r="O82" s="5">
        <f t="shared" si="7"/>
        <v>65</v>
      </c>
    </row>
    <row r="83" spans="1:15" x14ac:dyDescent="0.3">
      <c r="A83" t="s">
        <v>103</v>
      </c>
      <c r="B83" s="3">
        <v>46384</v>
      </c>
      <c r="C83" t="s">
        <v>16</v>
      </c>
      <c r="D83" t="s">
        <v>24</v>
      </c>
      <c r="E83">
        <v>13</v>
      </c>
      <c r="F83">
        <v>50</v>
      </c>
      <c r="G83">
        <v>0</v>
      </c>
      <c r="H83">
        <v>10</v>
      </c>
      <c r="I83" t="s">
        <v>18</v>
      </c>
      <c r="J83" t="s">
        <v>19</v>
      </c>
      <c r="K83">
        <v>10</v>
      </c>
      <c r="L83">
        <f t="shared" si="4"/>
        <v>650</v>
      </c>
      <c r="M83">
        <f t="shared" si="5"/>
        <v>0</v>
      </c>
      <c r="N83">
        <f t="shared" si="6"/>
        <v>130</v>
      </c>
      <c r="O83" s="5">
        <f t="shared" si="7"/>
        <v>510</v>
      </c>
    </row>
    <row r="84" spans="1:15" x14ac:dyDescent="0.3">
      <c r="A84" t="s">
        <v>104</v>
      </c>
      <c r="B84" s="3">
        <v>46024</v>
      </c>
      <c r="C84" t="s">
        <v>16</v>
      </c>
      <c r="D84" t="s">
        <v>17</v>
      </c>
      <c r="E84">
        <v>12</v>
      </c>
      <c r="F84">
        <v>50</v>
      </c>
      <c r="G84">
        <v>0.2</v>
      </c>
      <c r="H84">
        <v>20</v>
      </c>
      <c r="I84" t="s">
        <v>18</v>
      </c>
      <c r="J84" t="s">
        <v>19</v>
      </c>
      <c r="K84">
        <v>10</v>
      </c>
      <c r="L84">
        <f t="shared" si="4"/>
        <v>600</v>
      </c>
      <c r="M84">
        <f t="shared" si="5"/>
        <v>10</v>
      </c>
      <c r="N84">
        <f t="shared" si="6"/>
        <v>120</v>
      </c>
      <c r="O84" s="5">
        <f t="shared" si="7"/>
        <v>460</v>
      </c>
    </row>
    <row r="85" spans="1:15" x14ac:dyDescent="0.3">
      <c r="A85" t="s">
        <v>105</v>
      </c>
      <c r="B85" s="3">
        <v>46179</v>
      </c>
      <c r="C85" t="s">
        <v>16</v>
      </c>
      <c r="D85" t="s">
        <v>22</v>
      </c>
      <c r="E85">
        <v>22</v>
      </c>
      <c r="F85">
        <v>50</v>
      </c>
      <c r="G85">
        <v>0.1</v>
      </c>
      <c r="H85">
        <v>20</v>
      </c>
      <c r="I85" t="s">
        <v>18</v>
      </c>
      <c r="J85" t="s">
        <v>19</v>
      </c>
      <c r="K85">
        <v>10</v>
      </c>
      <c r="L85">
        <f t="shared" si="4"/>
        <v>1100</v>
      </c>
      <c r="M85">
        <f t="shared" si="5"/>
        <v>5</v>
      </c>
      <c r="N85">
        <f t="shared" si="6"/>
        <v>220</v>
      </c>
      <c r="O85" s="5">
        <f t="shared" si="7"/>
        <v>860</v>
      </c>
    </row>
    <row r="86" spans="1:15" x14ac:dyDescent="0.3">
      <c r="A86" t="s">
        <v>106</v>
      </c>
      <c r="B86" s="3">
        <v>46260</v>
      </c>
      <c r="C86" t="s">
        <v>16</v>
      </c>
      <c r="D86" t="s">
        <v>24</v>
      </c>
      <c r="E86">
        <v>8</v>
      </c>
      <c r="F86">
        <v>50</v>
      </c>
      <c r="G86">
        <v>0.35</v>
      </c>
      <c r="H86">
        <v>5</v>
      </c>
      <c r="I86" t="s">
        <v>18</v>
      </c>
      <c r="J86" t="s">
        <v>19</v>
      </c>
      <c r="K86">
        <v>10</v>
      </c>
      <c r="L86">
        <f t="shared" si="4"/>
        <v>400</v>
      </c>
      <c r="M86">
        <f t="shared" si="5"/>
        <v>17.5</v>
      </c>
      <c r="N86">
        <f t="shared" si="6"/>
        <v>80</v>
      </c>
      <c r="O86" s="5">
        <f t="shared" si="7"/>
        <v>315</v>
      </c>
    </row>
    <row r="87" spans="1:15" x14ac:dyDescent="0.3">
      <c r="A87" t="s">
        <v>107</v>
      </c>
      <c r="B87" s="3">
        <v>46323</v>
      </c>
      <c r="C87" t="s">
        <v>16</v>
      </c>
      <c r="D87" t="s">
        <v>34</v>
      </c>
      <c r="E87">
        <v>14</v>
      </c>
      <c r="F87">
        <v>50</v>
      </c>
      <c r="G87">
        <v>0.35</v>
      </c>
      <c r="H87">
        <v>20</v>
      </c>
      <c r="I87" t="s">
        <v>18</v>
      </c>
      <c r="J87" t="s">
        <v>19</v>
      </c>
      <c r="K87">
        <v>10</v>
      </c>
      <c r="L87">
        <f t="shared" si="4"/>
        <v>700</v>
      </c>
      <c r="M87">
        <f t="shared" si="5"/>
        <v>17.5</v>
      </c>
      <c r="N87">
        <f t="shared" si="6"/>
        <v>140</v>
      </c>
      <c r="O87" s="5">
        <f t="shared" si="7"/>
        <v>540</v>
      </c>
    </row>
    <row r="88" spans="1:15" x14ac:dyDescent="0.3">
      <c r="A88" t="s">
        <v>108</v>
      </c>
      <c r="B88" s="3">
        <v>46259</v>
      </c>
      <c r="C88" t="s">
        <v>16</v>
      </c>
      <c r="D88" t="s">
        <v>24</v>
      </c>
      <c r="E88">
        <v>14</v>
      </c>
      <c r="F88">
        <v>50</v>
      </c>
      <c r="G88">
        <v>0.1</v>
      </c>
      <c r="H88">
        <v>20</v>
      </c>
      <c r="I88" t="s">
        <v>18</v>
      </c>
      <c r="J88" t="s">
        <v>19</v>
      </c>
      <c r="K88">
        <v>10</v>
      </c>
      <c r="L88">
        <f t="shared" si="4"/>
        <v>700</v>
      </c>
      <c r="M88">
        <f t="shared" si="5"/>
        <v>5</v>
      </c>
      <c r="N88">
        <f t="shared" si="6"/>
        <v>140</v>
      </c>
      <c r="O88" s="5">
        <f t="shared" si="7"/>
        <v>540</v>
      </c>
    </row>
    <row r="89" spans="1:15" x14ac:dyDescent="0.3">
      <c r="A89" t="s">
        <v>109</v>
      </c>
      <c r="B89" s="3">
        <v>46156</v>
      </c>
      <c r="C89" t="s">
        <v>16</v>
      </c>
      <c r="D89" t="s">
        <v>17</v>
      </c>
      <c r="E89">
        <v>21</v>
      </c>
      <c r="F89">
        <v>50</v>
      </c>
      <c r="G89">
        <v>0.35</v>
      </c>
      <c r="H89">
        <v>5</v>
      </c>
      <c r="I89" t="s">
        <v>18</v>
      </c>
      <c r="J89" t="s">
        <v>19</v>
      </c>
      <c r="K89">
        <v>10</v>
      </c>
      <c r="L89">
        <f t="shared" si="4"/>
        <v>1050</v>
      </c>
      <c r="M89">
        <f t="shared" si="5"/>
        <v>17.5</v>
      </c>
      <c r="N89">
        <f t="shared" si="6"/>
        <v>210</v>
      </c>
      <c r="O89" s="5">
        <f t="shared" si="7"/>
        <v>835</v>
      </c>
    </row>
    <row r="90" spans="1:15" x14ac:dyDescent="0.3">
      <c r="A90" t="s">
        <v>110</v>
      </c>
      <c r="B90" s="3">
        <v>46273</v>
      </c>
      <c r="C90" t="s">
        <v>16</v>
      </c>
      <c r="D90" t="s">
        <v>24</v>
      </c>
      <c r="E90">
        <v>11</v>
      </c>
      <c r="F90">
        <v>50</v>
      </c>
      <c r="G90">
        <v>0.1</v>
      </c>
      <c r="H90">
        <v>10</v>
      </c>
      <c r="I90" t="s">
        <v>18</v>
      </c>
      <c r="J90" t="s">
        <v>19</v>
      </c>
      <c r="K90">
        <v>10</v>
      </c>
      <c r="L90">
        <f t="shared" si="4"/>
        <v>550</v>
      </c>
      <c r="M90">
        <f t="shared" si="5"/>
        <v>5</v>
      </c>
      <c r="N90">
        <f t="shared" si="6"/>
        <v>110</v>
      </c>
      <c r="O90" s="5">
        <f t="shared" si="7"/>
        <v>430</v>
      </c>
    </row>
    <row r="91" spans="1:15" x14ac:dyDescent="0.3">
      <c r="A91" t="s">
        <v>111</v>
      </c>
      <c r="B91" s="3">
        <v>46071</v>
      </c>
      <c r="C91" t="s">
        <v>16</v>
      </c>
      <c r="D91" t="s">
        <v>17</v>
      </c>
      <c r="E91">
        <v>2</v>
      </c>
      <c r="F91">
        <v>50</v>
      </c>
      <c r="G91">
        <v>0.2</v>
      </c>
      <c r="H91">
        <v>20</v>
      </c>
      <c r="I91" t="s">
        <v>18</v>
      </c>
      <c r="J91" t="s">
        <v>19</v>
      </c>
      <c r="K91">
        <v>10</v>
      </c>
      <c r="L91">
        <f t="shared" si="4"/>
        <v>100</v>
      </c>
      <c r="M91">
        <f t="shared" si="5"/>
        <v>10</v>
      </c>
      <c r="N91">
        <f t="shared" si="6"/>
        <v>20</v>
      </c>
      <c r="O91" s="5">
        <f t="shared" si="7"/>
        <v>60</v>
      </c>
    </row>
    <row r="92" spans="1:15" x14ac:dyDescent="0.3">
      <c r="A92" t="s">
        <v>112</v>
      </c>
      <c r="B92" s="3">
        <v>46073</v>
      </c>
      <c r="C92" t="s">
        <v>16</v>
      </c>
      <c r="D92" t="s">
        <v>34</v>
      </c>
      <c r="E92">
        <v>24</v>
      </c>
      <c r="F92">
        <v>50</v>
      </c>
      <c r="G92">
        <v>0.1</v>
      </c>
      <c r="H92">
        <v>20</v>
      </c>
      <c r="I92" t="s">
        <v>18</v>
      </c>
      <c r="J92" t="s">
        <v>19</v>
      </c>
      <c r="K92">
        <v>10</v>
      </c>
      <c r="L92">
        <f t="shared" si="4"/>
        <v>1200</v>
      </c>
      <c r="M92">
        <f t="shared" si="5"/>
        <v>5</v>
      </c>
      <c r="N92">
        <f t="shared" si="6"/>
        <v>240</v>
      </c>
      <c r="O92" s="5">
        <f t="shared" si="7"/>
        <v>940</v>
      </c>
    </row>
    <row r="93" spans="1:15" x14ac:dyDescent="0.3">
      <c r="A93" t="s">
        <v>113</v>
      </c>
      <c r="B93" s="3">
        <v>46276</v>
      </c>
      <c r="C93" t="s">
        <v>16</v>
      </c>
      <c r="D93" t="s">
        <v>34</v>
      </c>
      <c r="E93">
        <v>6</v>
      </c>
      <c r="F93">
        <v>50</v>
      </c>
      <c r="G93">
        <v>0</v>
      </c>
      <c r="H93">
        <v>15</v>
      </c>
      <c r="I93" t="s">
        <v>18</v>
      </c>
      <c r="J93" t="s">
        <v>19</v>
      </c>
      <c r="K93">
        <v>10</v>
      </c>
      <c r="L93">
        <f t="shared" si="4"/>
        <v>300</v>
      </c>
      <c r="M93">
        <f t="shared" si="5"/>
        <v>0</v>
      </c>
      <c r="N93">
        <f t="shared" si="6"/>
        <v>60</v>
      </c>
      <c r="O93" s="5">
        <f t="shared" si="7"/>
        <v>225</v>
      </c>
    </row>
    <row r="94" spans="1:15" x14ac:dyDescent="0.3">
      <c r="A94" t="s">
        <v>114</v>
      </c>
      <c r="B94" s="3">
        <v>46347</v>
      </c>
      <c r="C94" t="s">
        <v>16</v>
      </c>
      <c r="D94" t="s">
        <v>22</v>
      </c>
      <c r="E94">
        <v>14</v>
      </c>
      <c r="F94">
        <v>50</v>
      </c>
      <c r="G94">
        <v>0.1</v>
      </c>
      <c r="H94">
        <v>20</v>
      </c>
      <c r="I94" t="s">
        <v>18</v>
      </c>
      <c r="J94" t="s">
        <v>19</v>
      </c>
      <c r="K94">
        <v>10</v>
      </c>
      <c r="L94">
        <f t="shared" si="4"/>
        <v>700</v>
      </c>
      <c r="M94">
        <f t="shared" si="5"/>
        <v>5</v>
      </c>
      <c r="N94">
        <f t="shared" si="6"/>
        <v>140</v>
      </c>
      <c r="O94" s="5">
        <f t="shared" si="7"/>
        <v>540</v>
      </c>
    </row>
    <row r="95" spans="1:15" x14ac:dyDescent="0.3">
      <c r="A95" t="s">
        <v>115</v>
      </c>
      <c r="B95" s="3">
        <v>46243</v>
      </c>
      <c r="C95" t="s">
        <v>16</v>
      </c>
      <c r="D95" t="s">
        <v>17</v>
      </c>
      <c r="E95">
        <v>7</v>
      </c>
      <c r="F95">
        <v>50</v>
      </c>
      <c r="G95">
        <v>0.35</v>
      </c>
      <c r="H95">
        <v>5</v>
      </c>
      <c r="I95" t="s">
        <v>18</v>
      </c>
      <c r="J95" t="s">
        <v>19</v>
      </c>
      <c r="K95">
        <v>10</v>
      </c>
      <c r="L95">
        <f t="shared" si="4"/>
        <v>350</v>
      </c>
      <c r="M95">
        <f t="shared" si="5"/>
        <v>17.5</v>
      </c>
      <c r="N95">
        <f t="shared" si="6"/>
        <v>70</v>
      </c>
      <c r="O95" s="5">
        <f t="shared" si="7"/>
        <v>275</v>
      </c>
    </row>
    <row r="96" spans="1:15" x14ac:dyDescent="0.3">
      <c r="A96" t="s">
        <v>116</v>
      </c>
      <c r="B96" s="3">
        <v>46126</v>
      </c>
      <c r="C96" t="s">
        <v>16</v>
      </c>
      <c r="D96" t="s">
        <v>24</v>
      </c>
      <c r="E96">
        <v>25</v>
      </c>
      <c r="F96">
        <v>50</v>
      </c>
      <c r="G96">
        <v>0</v>
      </c>
      <c r="H96">
        <v>15</v>
      </c>
      <c r="I96" t="s">
        <v>18</v>
      </c>
      <c r="J96" t="s">
        <v>19</v>
      </c>
      <c r="K96">
        <v>10</v>
      </c>
      <c r="L96">
        <f t="shared" si="4"/>
        <v>1250</v>
      </c>
      <c r="M96">
        <f t="shared" si="5"/>
        <v>0</v>
      </c>
      <c r="N96">
        <f t="shared" si="6"/>
        <v>250</v>
      </c>
      <c r="O96" s="5">
        <f t="shared" si="7"/>
        <v>985</v>
      </c>
    </row>
    <row r="97" spans="1:15" x14ac:dyDescent="0.3">
      <c r="A97" t="s">
        <v>117</v>
      </c>
      <c r="B97" s="3">
        <v>46167</v>
      </c>
      <c r="C97" t="s">
        <v>16</v>
      </c>
      <c r="D97" t="s">
        <v>24</v>
      </c>
      <c r="E97">
        <v>17</v>
      </c>
      <c r="F97">
        <v>50</v>
      </c>
      <c r="G97">
        <v>0.2</v>
      </c>
      <c r="H97">
        <v>15</v>
      </c>
      <c r="I97" t="s">
        <v>18</v>
      </c>
      <c r="J97" t="s">
        <v>19</v>
      </c>
      <c r="K97">
        <v>10</v>
      </c>
      <c r="L97">
        <f t="shared" si="4"/>
        <v>850</v>
      </c>
      <c r="M97">
        <f t="shared" si="5"/>
        <v>10</v>
      </c>
      <c r="N97">
        <f t="shared" si="6"/>
        <v>170</v>
      </c>
      <c r="O97" s="5">
        <f t="shared" si="7"/>
        <v>665</v>
      </c>
    </row>
    <row r="98" spans="1:15" x14ac:dyDescent="0.3">
      <c r="A98" t="s">
        <v>118</v>
      </c>
      <c r="B98" s="3">
        <v>46123</v>
      </c>
      <c r="C98" t="s">
        <v>16</v>
      </c>
      <c r="D98" t="s">
        <v>17</v>
      </c>
      <c r="E98">
        <v>19</v>
      </c>
      <c r="F98">
        <v>50</v>
      </c>
      <c r="G98">
        <v>0.35</v>
      </c>
      <c r="H98">
        <v>20</v>
      </c>
      <c r="I98" t="s">
        <v>18</v>
      </c>
      <c r="J98" t="s">
        <v>19</v>
      </c>
      <c r="K98">
        <v>10</v>
      </c>
      <c r="L98">
        <f t="shared" si="4"/>
        <v>950</v>
      </c>
      <c r="M98">
        <f t="shared" si="5"/>
        <v>17.5</v>
      </c>
      <c r="N98">
        <f t="shared" si="6"/>
        <v>190</v>
      </c>
      <c r="O98" s="5">
        <f t="shared" si="7"/>
        <v>740</v>
      </c>
    </row>
    <row r="99" spans="1:15" x14ac:dyDescent="0.3">
      <c r="A99" t="s">
        <v>119</v>
      </c>
      <c r="B99" s="3">
        <v>46305</v>
      </c>
      <c r="C99" t="s">
        <v>16</v>
      </c>
      <c r="D99" t="s">
        <v>17</v>
      </c>
      <c r="E99">
        <v>18</v>
      </c>
      <c r="F99">
        <v>50</v>
      </c>
      <c r="G99">
        <v>0</v>
      </c>
      <c r="H99">
        <v>15</v>
      </c>
      <c r="I99" t="s">
        <v>18</v>
      </c>
      <c r="J99" t="s">
        <v>19</v>
      </c>
      <c r="K99">
        <v>10</v>
      </c>
      <c r="L99">
        <f t="shared" si="4"/>
        <v>900</v>
      </c>
      <c r="M99">
        <f t="shared" si="5"/>
        <v>0</v>
      </c>
      <c r="N99">
        <f t="shared" si="6"/>
        <v>180</v>
      </c>
      <c r="O99" s="5">
        <f t="shared" si="7"/>
        <v>705</v>
      </c>
    </row>
    <row r="100" spans="1:15" x14ac:dyDescent="0.3">
      <c r="A100" t="s">
        <v>120</v>
      </c>
      <c r="B100" s="3">
        <v>46365</v>
      </c>
      <c r="C100" t="s">
        <v>16</v>
      </c>
      <c r="D100" t="s">
        <v>22</v>
      </c>
      <c r="E100">
        <v>7</v>
      </c>
      <c r="F100">
        <v>50</v>
      </c>
      <c r="G100">
        <v>0</v>
      </c>
      <c r="H100">
        <v>15</v>
      </c>
      <c r="I100" t="s">
        <v>18</v>
      </c>
      <c r="J100" t="s">
        <v>19</v>
      </c>
      <c r="K100">
        <v>10</v>
      </c>
      <c r="L100">
        <f t="shared" si="4"/>
        <v>350</v>
      </c>
      <c r="M100">
        <f t="shared" si="5"/>
        <v>0</v>
      </c>
      <c r="N100">
        <f t="shared" si="6"/>
        <v>70</v>
      </c>
      <c r="O100" s="5">
        <f t="shared" si="7"/>
        <v>265</v>
      </c>
    </row>
    <row r="101" spans="1:15" x14ac:dyDescent="0.3">
      <c r="A101" t="s">
        <v>121</v>
      </c>
      <c r="B101" s="3">
        <v>46169</v>
      </c>
      <c r="C101" t="s">
        <v>16</v>
      </c>
      <c r="D101" t="s">
        <v>34</v>
      </c>
      <c r="E101">
        <v>10</v>
      </c>
      <c r="F101">
        <v>50</v>
      </c>
      <c r="G101">
        <v>0.1</v>
      </c>
      <c r="H101">
        <v>10</v>
      </c>
      <c r="I101" t="s">
        <v>18</v>
      </c>
      <c r="J101" t="s">
        <v>19</v>
      </c>
      <c r="K101">
        <v>10</v>
      </c>
      <c r="L101">
        <f t="shared" si="4"/>
        <v>500</v>
      </c>
      <c r="M101">
        <f t="shared" si="5"/>
        <v>5</v>
      </c>
      <c r="N101">
        <f t="shared" si="6"/>
        <v>100</v>
      </c>
      <c r="O101" s="5">
        <f t="shared" si="7"/>
        <v>390</v>
      </c>
    </row>
    <row r="102" spans="1:15" x14ac:dyDescent="0.3">
      <c r="A102" t="s">
        <v>122</v>
      </c>
      <c r="B102" s="3">
        <v>46198</v>
      </c>
      <c r="C102" t="s">
        <v>16</v>
      </c>
      <c r="D102" t="s">
        <v>17</v>
      </c>
      <c r="E102">
        <v>11</v>
      </c>
      <c r="F102">
        <v>50</v>
      </c>
      <c r="G102">
        <v>0.1</v>
      </c>
      <c r="H102">
        <v>5</v>
      </c>
      <c r="I102" t="s">
        <v>18</v>
      </c>
      <c r="J102" t="s">
        <v>19</v>
      </c>
      <c r="K102">
        <v>10</v>
      </c>
      <c r="L102">
        <f t="shared" si="4"/>
        <v>550</v>
      </c>
      <c r="M102">
        <f t="shared" si="5"/>
        <v>5</v>
      </c>
      <c r="N102">
        <f t="shared" si="6"/>
        <v>110</v>
      </c>
      <c r="O102" s="5">
        <f t="shared" si="7"/>
        <v>435</v>
      </c>
    </row>
    <row r="103" spans="1:15" x14ac:dyDescent="0.3">
      <c r="A103" t="s">
        <v>123</v>
      </c>
      <c r="B103" s="3">
        <v>46055</v>
      </c>
      <c r="C103" t="s">
        <v>16</v>
      </c>
      <c r="D103" t="s">
        <v>17</v>
      </c>
      <c r="E103">
        <v>10</v>
      </c>
      <c r="F103">
        <v>50</v>
      </c>
      <c r="G103">
        <v>0</v>
      </c>
      <c r="H103">
        <v>5</v>
      </c>
      <c r="I103" t="s">
        <v>18</v>
      </c>
      <c r="J103" t="s">
        <v>19</v>
      </c>
      <c r="K103">
        <v>10</v>
      </c>
      <c r="L103">
        <f t="shared" si="4"/>
        <v>500</v>
      </c>
      <c r="M103">
        <f t="shared" si="5"/>
        <v>0</v>
      </c>
      <c r="N103">
        <f t="shared" si="6"/>
        <v>100</v>
      </c>
      <c r="O103" s="5">
        <f t="shared" si="7"/>
        <v>395</v>
      </c>
    </row>
    <row r="104" spans="1:15" x14ac:dyDescent="0.3">
      <c r="A104" t="s">
        <v>124</v>
      </c>
      <c r="B104" s="3">
        <v>46263</v>
      </c>
      <c r="C104" t="s">
        <v>16</v>
      </c>
      <c r="D104" t="s">
        <v>34</v>
      </c>
      <c r="E104">
        <v>2</v>
      </c>
      <c r="F104">
        <v>50</v>
      </c>
      <c r="G104">
        <v>0</v>
      </c>
      <c r="H104">
        <v>5</v>
      </c>
      <c r="I104" t="s">
        <v>18</v>
      </c>
      <c r="J104" t="s">
        <v>19</v>
      </c>
      <c r="K104">
        <v>10</v>
      </c>
      <c r="L104">
        <f t="shared" si="4"/>
        <v>100</v>
      </c>
      <c r="M104">
        <f t="shared" si="5"/>
        <v>0</v>
      </c>
      <c r="N104">
        <f t="shared" si="6"/>
        <v>20</v>
      </c>
      <c r="O104" s="5">
        <f t="shared" si="7"/>
        <v>75</v>
      </c>
    </row>
    <row r="105" spans="1:15" x14ac:dyDescent="0.3">
      <c r="A105" t="s">
        <v>125</v>
      </c>
      <c r="B105" s="3">
        <v>46145</v>
      </c>
      <c r="C105" t="s">
        <v>16</v>
      </c>
      <c r="D105" t="s">
        <v>34</v>
      </c>
      <c r="E105">
        <v>5</v>
      </c>
      <c r="F105">
        <v>50</v>
      </c>
      <c r="G105">
        <v>0</v>
      </c>
      <c r="H105">
        <v>10</v>
      </c>
      <c r="I105" t="s">
        <v>18</v>
      </c>
      <c r="J105" t="s">
        <v>19</v>
      </c>
      <c r="K105">
        <v>10</v>
      </c>
      <c r="L105">
        <f t="shared" si="4"/>
        <v>250</v>
      </c>
      <c r="M105">
        <f t="shared" si="5"/>
        <v>0</v>
      </c>
      <c r="N105">
        <f t="shared" si="6"/>
        <v>50</v>
      </c>
      <c r="O105" s="5">
        <f t="shared" si="7"/>
        <v>190</v>
      </c>
    </row>
    <row r="106" spans="1:15" x14ac:dyDescent="0.3">
      <c r="A106" t="s">
        <v>126</v>
      </c>
      <c r="B106" s="3">
        <v>46181</v>
      </c>
      <c r="C106" t="s">
        <v>16</v>
      </c>
      <c r="D106" t="s">
        <v>22</v>
      </c>
      <c r="E106">
        <v>23</v>
      </c>
      <c r="F106">
        <v>50</v>
      </c>
      <c r="G106">
        <v>0</v>
      </c>
      <c r="H106">
        <v>20</v>
      </c>
      <c r="I106" t="s">
        <v>18</v>
      </c>
      <c r="J106" t="s">
        <v>19</v>
      </c>
      <c r="K106">
        <v>10</v>
      </c>
      <c r="L106">
        <f t="shared" si="4"/>
        <v>1150</v>
      </c>
      <c r="M106">
        <f t="shared" si="5"/>
        <v>0</v>
      </c>
      <c r="N106">
        <f t="shared" si="6"/>
        <v>230</v>
      </c>
      <c r="O106" s="5">
        <f t="shared" si="7"/>
        <v>900</v>
      </c>
    </row>
    <row r="107" spans="1:15" x14ac:dyDescent="0.3">
      <c r="A107" t="s">
        <v>127</v>
      </c>
      <c r="B107" s="3">
        <v>46188</v>
      </c>
      <c r="C107" t="s">
        <v>16</v>
      </c>
      <c r="D107" t="s">
        <v>17</v>
      </c>
      <c r="E107">
        <v>16</v>
      </c>
      <c r="F107">
        <v>50</v>
      </c>
      <c r="G107">
        <v>0</v>
      </c>
      <c r="H107">
        <v>15</v>
      </c>
      <c r="I107" t="s">
        <v>18</v>
      </c>
      <c r="J107" t="s">
        <v>19</v>
      </c>
      <c r="K107">
        <v>10</v>
      </c>
      <c r="L107">
        <f t="shared" si="4"/>
        <v>800</v>
      </c>
      <c r="M107">
        <f t="shared" si="5"/>
        <v>0</v>
      </c>
      <c r="N107">
        <f t="shared" si="6"/>
        <v>160</v>
      </c>
      <c r="O107" s="5">
        <f t="shared" si="7"/>
        <v>625</v>
      </c>
    </row>
    <row r="108" spans="1:15" x14ac:dyDescent="0.3">
      <c r="A108" t="s">
        <v>128</v>
      </c>
      <c r="B108" s="3">
        <v>46139</v>
      </c>
      <c r="C108" t="s">
        <v>16</v>
      </c>
      <c r="D108" t="s">
        <v>24</v>
      </c>
      <c r="E108">
        <v>25</v>
      </c>
      <c r="F108">
        <v>50</v>
      </c>
      <c r="G108">
        <v>0</v>
      </c>
      <c r="H108">
        <v>5</v>
      </c>
      <c r="I108" t="s">
        <v>18</v>
      </c>
      <c r="J108" t="s">
        <v>19</v>
      </c>
      <c r="K108">
        <v>10</v>
      </c>
      <c r="L108">
        <f t="shared" si="4"/>
        <v>1250</v>
      </c>
      <c r="M108">
        <f t="shared" si="5"/>
        <v>0</v>
      </c>
      <c r="N108">
        <f t="shared" si="6"/>
        <v>250</v>
      </c>
      <c r="O108" s="5">
        <f t="shared" si="7"/>
        <v>995</v>
      </c>
    </row>
    <row r="109" spans="1:15" x14ac:dyDescent="0.3">
      <c r="A109" t="s">
        <v>129</v>
      </c>
      <c r="B109" s="3">
        <v>46279</v>
      </c>
      <c r="C109" t="s">
        <v>16</v>
      </c>
      <c r="D109" t="s">
        <v>24</v>
      </c>
      <c r="E109">
        <v>6</v>
      </c>
      <c r="F109">
        <v>50</v>
      </c>
      <c r="G109">
        <v>0.1</v>
      </c>
      <c r="H109">
        <v>5</v>
      </c>
      <c r="I109" t="s">
        <v>18</v>
      </c>
      <c r="J109" t="s">
        <v>19</v>
      </c>
      <c r="K109">
        <v>10</v>
      </c>
      <c r="L109">
        <f t="shared" si="4"/>
        <v>300</v>
      </c>
      <c r="M109">
        <f t="shared" si="5"/>
        <v>5</v>
      </c>
      <c r="N109">
        <f t="shared" si="6"/>
        <v>60</v>
      </c>
      <c r="O109" s="5">
        <f t="shared" si="7"/>
        <v>235</v>
      </c>
    </row>
    <row r="110" spans="1:15" x14ac:dyDescent="0.3">
      <c r="A110" t="s">
        <v>130</v>
      </c>
      <c r="B110" s="3">
        <v>46288</v>
      </c>
      <c r="C110" t="s">
        <v>16</v>
      </c>
      <c r="D110" t="s">
        <v>34</v>
      </c>
      <c r="E110">
        <v>13</v>
      </c>
      <c r="F110">
        <v>50</v>
      </c>
      <c r="G110">
        <v>0.1</v>
      </c>
      <c r="H110">
        <v>15</v>
      </c>
      <c r="I110" t="s">
        <v>18</v>
      </c>
      <c r="J110" t="s">
        <v>19</v>
      </c>
      <c r="K110">
        <v>10</v>
      </c>
      <c r="L110">
        <f t="shared" si="4"/>
        <v>650</v>
      </c>
      <c r="M110">
        <f t="shared" si="5"/>
        <v>5</v>
      </c>
      <c r="N110">
        <f t="shared" si="6"/>
        <v>130</v>
      </c>
      <c r="O110" s="5">
        <f t="shared" si="7"/>
        <v>505</v>
      </c>
    </row>
    <row r="111" spans="1:15" x14ac:dyDescent="0.3">
      <c r="A111" t="s">
        <v>131</v>
      </c>
      <c r="B111" s="3">
        <v>46265</v>
      </c>
      <c r="C111" t="s">
        <v>16</v>
      </c>
      <c r="D111" t="s">
        <v>22</v>
      </c>
      <c r="E111">
        <v>23</v>
      </c>
      <c r="F111">
        <v>50</v>
      </c>
      <c r="G111">
        <v>0.35</v>
      </c>
      <c r="H111">
        <v>5</v>
      </c>
      <c r="I111" t="s">
        <v>18</v>
      </c>
      <c r="J111" t="s">
        <v>19</v>
      </c>
      <c r="K111">
        <v>10</v>
      </c>
      <c r="L111">
        <f t="shared" si="4"/>
        <v>1150</v>
      </c>
      <c r="M111">
        <f t="shared" si="5"/>
        <v>17.5</v>
      </c>
      <c r="N111">
        <f t="shared" si="6"/>
        <v>230</v>
      </c>
      <c r="O111" s="5">
        <f t="shared" si="7"/>
        <v>915</v>
      </c>
    </row>
    <row r="112" spans="1:15" x14ac:dyDescent="0.3">
      <c r="A112" t="s">
        <v>132</v>
      </c>
      <c r="B112" s="3">
        <v>46378</v>
      </c>
      <c r="C112" t="s">
        <v>16</v>
      </c>
      <c r="D112" t="s">
        <v>17</v>
      </c>
      <c r="E112">
        <v>4</v>
      </c>
      <c r="F112">
        <v>50</v>
      </c>
      <c r="G112">
        <v>0.2</v>
      </c>
      <c r="H112">
        <v>5</v>
      </c>
      <c r="I112" t="s">
        <v>18</v>
      </c>
      <c r="J112" t="s">
        <v>19</v>
      </c>
      <c r="K112">
        <v>10</v>
      </c>
      <c r="L112">
        <f t="shared" si="4"/>
        <v>200</v>
      </c>
      <c r="M112">
        <f t="shared" si="5"/>
        <v>10</v>
      </c>
      <c r="N112">
        <f t="shared" si="6"/>
        <v>40</v>
      </c>
      <c r="O112" s="5">
        <f t="shared" si="7"/>
        <v>155</v>
      </c>
    </row>
    <row r="113" spans="1:15" x14ac:dyDescent="0.3">
      <c r="A113" t="s">
        <v>133</v>
      </c>
      <c r="B113" s="3">
        <v>46297</v>
      </c>
      <c r="C113" t="s">
        <v>16</v>
      </c>
      <c r="D113" t="s">
        <v>22</v>
      </c>
      <c r="E113">
        <v>25</v>
      </c>
      <c r="F113">
        <v>50</v>
      </c>
      <c r="G113">
        <v>0.35</v>
      </c>
      <c r="H113">
        <v>10</v>
      </c>
      <c r="I113" t="s">
        <v>18</v>
      </c>
      <c r="J113" t="s">
        <v>19</v>
      </c>
      <c r="K113">
        <v>10</v>
      </c>
      <c r="L113">
        <f t="shared" si="4"/>
        <v>1250</v>
      </c>
      <c r="M113">
        <f t="shared" si="5"/>
        <v>17.5</v>
      </c>
      <c r="N113">
        <f t="shared" si="6"/>
        <v>250</v>
      </c>
      <c r="O113" s="5">
        <f t="shared" si="7"/>
        <v>990</v>
      </c>
    </row>
    <row r="114" spans="1:15" x14ac:dyDescent="0.3">
      <c r="A114" t="s">
        <v>134</v>
      </c>
      <c r="B114" s="3">
        <v>46075</v>
      </c>
      <c r="C114" t="s">
        <v>16</v>
      </c>
      <c r="D114" t="s">
        <v>34</v>
      </c>
      <c r="E114">
        <v>21</v>
      </c>
      <c r="F114">
        <v>50</v>
      </c>
      <c r="G114">
        <v>0.2</v>
      </c>
      <c r="H114">
        <v>10</v>
      </c>
      <c r="I114" t="s">
        <v>18</v>
      </c>
      <c r="J114" t="s">
        <v>19</v>
      </c>
      <c r="K114">
        <v>10</v>
      </c>
      <c r="L114">
        <f t="shared" si="4"/>
        <v>1050</v>
      </c>
      <c r="M114">
        <f t="shared" si="5"/>
        <v>10</v>
      </c>
      <c r="N114">
        <f t="shared" si="6"/>
        <v>210</v>
      </c>
      <c r="O114" s="5">
        <f t="shared" si="7"/>
        <v>830</v>
      </c>
    </row>
    <row r="115" spans="1:15" x14ac:dyDescent="0.3">
      <c r="A115" t="s">
        <v>135</v>
      </c>
      <c r="B115" s="3">
        <v>46278</v>
      </c>
      <c r="C115" t="s">
        <v>16</v>
      </c>
      <c r="D115" t="s">
        <v>24</v>
      </c>
      <c r="E115">
        <v>1</v>
      </c>
      <c r="F115">
        <v>50</v>
      </c>
      <c r="G115">
        <v>0</v>
      </c>
      <c r="H115">
        <v>20</v>
      </c>
      <c r="I115" t="s">
        <v>18</v>
      </c>
      <c r="J115" t="s">
        <v>19</v>
      </c>
      <c r="K115">
        <v>10</v>
      </c>
      <c r="L115">
        <f t="shared" si="4"/>
        <v>50</v>
      </c>
      <c r="M115">
        <f t="shared" si="5"/>
        <v>0</v>
      </c>
      <c r="N115">
        <f t="shared" si="6"/>
        <v>10</v>
      </c>
      <c r="O115" s="5">
        <f t="shared" si="7"/>
        <v>20</v>
      </c>
    </row>
    <row r="116" spans="1:15" x14ac:dyDescent="0.3">
      <c r="A116" t="s">
        <v>136</v>
      </c>
      <c r="B116" s="3">
        <v>46334</v>
      </c>
      <c r="C116" t="s">
        <v>16</v>
      </c>
      <c r="D116" t="s">
        <v>17</v>
      </c>
      <c r="E116">
        <v>3</v>
      </c>
      <c r="F116">
        <v>50</v>
      </c>
      <c r="G116">
        <v>0.35</v>
      </c>
      <c r="H116">
        <v>10</v>
      </c>
      <c r="I116" t="s">
        <v>18</v>
      </c>
      <c r="J116" t="s">
        <v>19</v>
      </c>
      <c r="K116">
        <v>10</v>
      </c>
      <c r="L116">
        <f t="shared" si="4"/>
        <v>150</v>
      </c>
      <c r="M116">
        <f t="shared" si="5"/>
        <v>17.5</v>
      </c>
      <c r="N116">
        <f t="shared" si="6"/>
        <v>30</v>
      </c>
      <c r="O116" s="5">
        <f t="shared" si="7"/>
        <v>110</v>
      </c>
    </row>
    <row r="117" spans="1:15" x14ac:dyDescent="0.3">
      <c r="A117" t="s">
        <v>137</v>
      </c>
      <c r="B117" s="3">
        <v>46130</v>
      </c>
      <c r="C117" t="s">
        <v>16</v>
      </c>
      <c r="D117" t="s">
        <v>34</v>
      </c>
      <c r="E117">
        <v>8</v>
      </c>
      <c r="F117">
        <v>50</v>
      </c>
      <c r="G117">
        <v>0.1</v>
      </c>
      <c r="H117">
        <v>5</v>
      </c>
      <c r="I117" t="s">
        <v>18</v>
      </c>
      <c r="J117" t="s">
        <v>19</v>
      </c>
      <c r="K117">
        <v>10</v>
      </c>
      <c r="L117">
        <f t="shared" si="4"/>
        <v>400</v>
      </c>
      <c r="M117">
        <f t="shared" si="5"/>
        <v>5</v>
      </c>
      <c r="N117">
        <f t="shared" si="6"/>
        <v>80</v>
      </c>
      <c r="O117" s="5">
        <f t="shared" si="7"/>
        <v>315</v>
      </c>
    </row>
    <row r="118" spans="1:15" x14ac:dyDescent="0.3">
      <c r="A118" t="s">
        <v>138</v>
      </c>
      <c r="B118" s="3">
        <v>46291</v>
      </c>
      <c r="C118" t="s">
        <v>16</v>
      </c>
      <c r="D118" t="s">
        <v>22</v>
      </c>
      <c r="E118">
        <v>19</v>
      </c>
      <c r="F118">
        <v>50</v>
      </c>
      <c r="G118">
        <v>0.1</v>
      </c>
      <c r="H118">
        <v>10</v>
      </c>
      <c r="I118" t="s">
        <v>18</v>
      </c>
      <c r="J118" t="s">
        <v>19</v>
      </c>
      <c r="K118">
        <v>10</v>
      </c>
      <c r="L118">
        <f t="shared" si="4"/>
        <v>950</v>
      </c>
      <c r="M118">
        <f t="shared" si="5"/>
        <v>5</v>
      </c>
      <c r="N118">
        <f t="shared" si="6"/>
        <v>190</v>
      </c>
      <c r="O118" s="5">
        <f t="shared" si="7"/>
        <v>750</v>
      </c>
    </row>
    <row r="119" spans="1:15" x14ac:dyDescent="0.3">
      <c r="A119" t="s">
        <v>139</v>
      </c>
      <c r="B119" s="3">
        <v>46218</v>
      </c>
      <c r="C119" t="s">
        <v>16</v>
      </c>
      <c r="D119" t="s">
        <v>17</v>
      </c>
      <c r="E119">
        <v>12</v>
      </c>
      <c r="F119">
        <v>50</v>
      </c>
      <c r="G119">
        <v>0.35</v>
      </c>
      <c r="H119">
        <v>10</v>
      </c>
      <c r="I119" t="s">
        <v>18</v>
      </c>
      <c r="J119" t="s">
        <v>19</v>
      </c>
      <c r="K119">
        <v>10</v>
      </c>
      <c r="L119">
        <f t="shared" si="4"/>
        <v>600</v>
      </c>
      <c r="M119">
        <f t="shared" si="5"/>
        <v>17.5</v>
      </c>
      <c r="N119">
        <f t="shared" si="6"/>
        <v>120</v>
      </c>
      <c r="O119" s="5">
        <f t="shared" si="7"/>
        <v>470</v>
      </c>
    </row>
    <row r="120" spans="1:15" x14ac:dyDescent="0.3">
      <c r="A120" t="s">
        <v>140</v>
      </c>
      <c r="B120" s="3">
        <v>46170</v>
      </c>
      <c r="C120" t="s">
        <v>16</v>
      </c>
      <c r="D120" t="s">
        <v>24</v>
      </c>
      <c r="E120">
        <v>25</v>
      </c>
      <c r="F120">
        <v>50</v>
      </c>
      <c r="G120">
        <v>0.1</v>
      </c>
      <c r="H120">
        <v>10</v>
      </c>
      <c r="I120" t="s">
        <v>18</v>
      </c>
      <c r="J120" t="s">
        <v>19</v>
      </c>
      <c r="K120">
        <v>10</v>
      </c>
      <c r="L120">
        <f t="shared" si="4"/>
        <v>1250</v>
      </c>
      <c r="M120">
        <f t="shared" si="5"/>
        <v>5</v>
      </c>
      <c r="N120">
        <f t="shared" si="6"/>
        <v>250</v>
      </c>
      <c r="O120" s="5">
        <f t="shared" si="7"/>
        <v>990</v>
      </c>
    </row>
    <row r="121" spans="1:15" x14ac:dyDescent="0.3">
      <c r="A121" t="s">
        <v>141</v>
      </c>
      <c r="B121" s="3">
        <v>46361</v>
      </c>
      <c r="C121" t="s">
        <v>16</v>
      </c>
      <c r="D121" t="s">
        <v>17</v>
      </c>
      <c r="E121">
        <v>24</v>
      </c>
      <c r="F121">
        <v>50</v>
      </c>
      <c r="G121">
        <v>0.2</v>
      </c>
      <c r="H121">
        <v>10</v>
      </c>
      <c r="I121" t="s">
        <v>18</v>
      </c>
      <c r="J121" t="s">
        <v>19</v>
      </c>
      <c r="K121">
        <v>10</v>
      </c>
      <c r="L121">
        <f t="shared" si="4"/>
        <v>1200</v>
      </c>
      <c r="M121">
        <f t="shared" si="5"/>
        <v>10</v>
      </c>
      <c r="N121">
        <f t="shared" si="6"/>
        <v>240</v>
      </c>
      <c r="O121" s="5">
        <f t="shared" si="7"/>
        <v>950</v>
      </c>
    </row>
    <row r="122" spans="1:15" x14ac:dyDescent="0.3">
      <c r="A122" t="s">
        <v>142</v>
      </c>
      <c r="B122" s="3">
        <v>46023</v>
      </c>
      <c r="C122" t="s">
        <v>16</v>
      </c>
      <c r="D122" t="s">
        <v>22</v>
      </c>
      <c r="E122">
        <v>1</v>
      </c>
      <c r="F122">
        <v>50</v>
      </c>
      <c r="G122">
        <v>0</v>
      </c>
      <c r="H122">
        <v>15</v>
      </c>
      <c r="I122" t="s">
        <v>18</v>
      </c>
      <c r="J122" t="s">
        <v>19</v>
      </c>
      <c r="K122">
        <v>10</v>
      </c>
      <c r="L122">
        <f t="shared" si="4"/>
        <v>50</v>
      </c>
      <c r="M122">
        <f t="shared" si="5"/>
        <v>0</v>
      </c>
      <c r="N122">
        <f t="shared" si="6"/>
        <v>10</v>
      </c>
      <c r="O122" s="5">
        <f t="shared" si="7"/>
        <v>25</v>
      </c>
    </row>
    <row r="123" spans="1:15" x14ac:dyDescent="0.3">
      <c r="A123" t="s">
        <v>143</v>
      </c>
      <c r="B123" s="3">
        <v>46283</v>
      </c>
      <c r="C123" t="s">
        <v>16</v>
      </c>
      <c r="D123" t="s">
        <v>17</v>
      </c>
      <c r="E123">
        <v>23</v>
      </c>
      <c r="F123">
        <v>50</v>
      </c>
      <c r="G123">
        <v>0.2</v>
      </c>
      <c r="H123">
        <v>5</v>
      </c>
      <c r="I123" t="s">
        <v>18</v>
      </c>
      <c r="J123" t="s">
        <v>19</v>
      </c>
      <c r="K123">
        <v>10</v>
      </c>
      <c r="L123">
        <f t="shared" si="4"/>
        <v>1150</v>
      </c>
      <c r="M123">
        <f t="shared" si="5"/>
        <v>10</v>
      </c>
      <c r="N123">
        <f t="shared" si="6"/>
        <v>230</v>
      </c>
      <c r="O123" s="5">
        <f t="shared" si="7"/>
        <v>915</v>
      </c>
    </row>
    <row r="124" spans="1:15" x14ac:dyDescent="0.3">
      <c r="A124" t="s">
        <v>144</v>
      </c>
      <c r="B124" s="3">
        <v>46206</v>
      </c>
      <c r="C124" t="s">
        <v>16</v>
      </c>
      <c r="D124" t="s">
        <v>17</v>
      </c>
      <c r="E124">
        <v>21</v>
      </c>
      <c r="F124">
        <v>50</v>
      </c>
      <c r="G124">
        <v>0.2</v>
      </c>
      <c r="H124">
        <v>20</v>
      </c>
      <c r="I124" t="s">
        <v>18</v>
      </c>
      <c r="J124" t="s">
        <v>19</v>
      </c>
      <c r="K124">
        <v>10</v>
      </c>
      <c r="L124">
        <f t="shared" si="4"/>
        <v>1050</v>
      </c>
      <c r="M124">
        <f t="shared" si="5"/>
        <v>10</v>
      </c>
      <c r="N124">
        <f t="shared" si="6"/>
        <v>210</v>
      </c>
      <c r="O124" s="5">
        <f t="shared" si="7"/>
        <v>820</v>
      </c>
    </row>
    <row r="125" spans="1:15" x14ac:dyDescent="0.3">
      <c r="A125" t="s">
        <v>145</v>
      </c>
      <c r="B125" s="3">
        <v>46345</v>
      </c>
      <c r="C125" t="s">
        <v>16</v>
      </c>
      <c r="D125" t="s">
        <v>22</v>
      </c>
      <c r="E125">
        <v>10</v>
      </c>
      <c r="F125">
        <v>50</v>
      </c>
      <c r="G125">
        <v>0.1</v>
      </c>
      <c r="H125">
        <v>5</v>
      </c>
      <c r="I125" t="s">
        <v>18</v>
      </c>
      <c r="J125" t="s">
        <v>19</v>
      </c>
      <c r="K125">
        <v>10</v>
      </c>
      <c r="L125">
        <f t="shared" si="4"/>
        <v>500</v>
      </c>
      <c r="M125">
        <f t="shared" si="5"/>
        <v>5</v>
      </c>
      <c r="N125">
        <f t="shared" si="6"/>
        <v>100</v>
      </c>
      <c r="O125" s="5">
        <f t="shared" si="7"/>
        <v>395</v>
      </c>
    </row>
    <row r="126" spans="1:15" x14ac:dyDescent="0.3">
      <c r="A126" t="s">
        <v>146</v>
      </c>
      <c r="B126" s="3">
        <v>46094</v>
      </c>
      <c r="C126" t="s">
        <v>16</v>
      </c>
      <c r="D126" t="s">
        <v>17</v>
      </c>
      <c r="E126">
        <v>16</v>
      </c>
      <c r="F126">
        <v>50</v>
      </c>
      <c r="G126">
        <v>0.2</v>
      </c>
      <c r="H126">
        <v>5</v>
      </c>
      <c r="I126" t="s">
        <v>18</v>
      </c>
      <c r="J126" t="s">
        <v>19</v>
      </c>
      <c r="K126">
        <v>10</v>
      </c>
      <c r="L126">
        <f t="shared" si="4"/>
        <v>800</v>
      </c>
      <c r="M126">
        <f t="shared" si="5"/>
        <v>10</v>
      </c>
      <c r="N126">
        <f t="shared" si="6"/>
        <v>160</v>
      </c>
      <c r="O126" s="5">
        <f t="shared" si="7"/>
        <v>635</v>
      </c>
    </row>
    <row r="127" spans="1:15" x14ac:dyDescent="0.3">
      <c r="A127" t="s">
        <v>147</v>
      </c>
      <c r="B127" s="3">
        <v>46373</v>
      </c>
      <c r="C127" t="s">
        <v>16</v>
      </c>
      <c r="D127" t="s">
        <v>17</v>
      </c>
      <c r="E127">
        <v>23</v>
      </c>
      <c r="F127">
        <v>50</v>
      </c>
      <c r="G127">
        <v>0.35</v>
      </c>
      <c r="H127">
        <v>5</v>
      </c>
      <c r="I127" t="s">
        <v>18</v>
      </c>
      <c r="J127" t="s">
        <v>19</v>
      </c>
      <c r="K127">
        <v>10</v>
      </c>
      <c r="L127">
        <f t="shared" si="4"/>
        <v>1150</v>
      </c>
      <c r="M127">
        <f t="shared" si="5"/>
        <v>17.5</v>
      </c>
      <c r="N127">
        <f t="shared" si="6"/>
        <v>230</v>
      </c>
      <c r="O127" s="5">
        <f t="shared" si="7"/>
        <v>915</v>
      </c>
    </row>
    <row r="128" spans="1:15" x14ac:dyDescent="0.3">
      <c r="A128" t="s">
        <v>148</v>
      </c>
      <c r="B128" s="3">
        <v>46212</v>
      </c>
      <c r="C128" t="s">
        <v>16</v>
      </c>
      <c r="D128" t="s">
        <v>24</v>
      </c>
      <c r="E128">
        <v>2</v>
      </c>
      <c r="F128">
        <v>50</v>
      </c>
      <c r="G128">
        <v>0.1</v>
      </c>
      <c r="H128">
        <v>10</v>
      </c>
      <c r="I128" t="s">
        <v>18</v>
      </c>
      <c r="J128" t="s">
        <v>19</v>
      </c>
      <c r="K128">
        <v>10</v>
      </c>
      <c r="L128">
        <f t="shared" si="4"/>
        <v>100</v>
      </c>
      <c r="M128">
        <f t="shared" si="5"/>
        <v>5</v>
      </c>
      <c r="N128">
        <f t="shared" si="6"/>
        <v>20</v>
      </c>
      <c r="O128" s="5">
        <f t="shared" si="7"/>
        <v>70</v>
      </c>
    </row>
    <row r="129" spans="1:15" x14ac:dyDescent="0.3">
      <c r="A129" t="s">
        <v>149</v>
      </c>
      <c r="B129" s="3">
        <v>46288</v>
      </c>
      <c r="C129" t="s">
        <v>16</v>
      </c>
      <c r="D129" t="s">
        <v>24</v>
      </c>
      <c r="E129">
        <v>21</v>
      </c>
      <c r="F129">
        <v>50</v>
      </c>
      <c r="G129">
        <v>0</v>
      </c>
      <c r="H129">
        <v>10</v>
      </c>
      <c r="I129" t="s">
        <v>18</v>
      </c>
      <c r="J129" t="s">
        <v>19</v>
      </c>
      <c r="K129">
        <v>10</v>
      </c>
      <c r="L129">
        <f t="shared" si="4"/>
        <v>1050</v>
      </c>
      <c r="M129">
        <f t="shared" si="5"/>
        <v>0</v>
      </c>
      <c r="N129">
        <f t="shared" si="6"/>
        <v>210</v>
      </c>
      <c r="O129" s="5">
        <f t="shared" si="7"/>
        <v>830</v>
      </c>
    </row>
    <row r="130" spans="1:15" x14ac:dyDescent="0.3">
      <c r="A130" t="s">
        <v>150</v>
      </c>
      <c r="B130" s="3">
        <v>46153</v>
      </c>
      <c r="C130" t="s">
        <v>16</v>
      </c>
      <c r="D130" t="s">
        <v>34</v>
      </c>
      <c r="E130">
        <v>6</v>
      </c>
      <c r="F130">
        <v>50</v>
      </c>
      <c r="G130">
        <v>0.35</v>
      </c>
      <c r="H130">
        <v>5</v>
      </c>
      <c r="I130" t="s">
        <v>18</v>
      </c>
      <c r="J130" t="s">
        <v>19</v>
      </c>
      <c r="K130">
        <v>10</v>
      </c>
      <c r="L130">
        <f t="shared" ref="L130:L193" si="8">E130*F130</f>
        <v>300</v>
      </c>
      <c r="M130">
        <f t="shared" ref="M130:M193" si="9">F130*G130</f>
        <v>17.5</v>
      </c>
      <c r="N130">
        <f t="shared" ref="N130:N193" si="10">E130*K130</f>
        <v>60</v>
      </c>
      <c r="O130" s="5">
        <f t="shared" ref="O130:O193" si="11">L130-H130-N130</f>
        <v>235</v>
      </c>
    </row>
    <row r="131" spans="1:15" x14ac:dyDescent="0.3">
      <c r="A131" t="s">
        <v>151</v>
      </c>
      <c r="B131" s="3">
        <v>46374</v>
      </c>
      <c r="C131" t="s">
        <v>16</v>
      </c>
      <c r="D131" t="s">
        <v>24</v>
      </c>
      <c r="E131">
        <v>3</v>
      </c>
      <c r="F131">
        <v>50</v>
      </c>
      <c r="G131">
        <v>0.1</v>
      </c>
      <c r="H131">
        <v>15</v>
      </c>
      <c r="I131" t="s">
        <v>18</v>
      </c>
      <c r="J131" t="s">
        <v>19</v>
      </c>
      <c r="K131">
        <v>10</v>
      </c>
      <c r="L131">
        <f t="shared" si="8"/>
        <v>150</v>
      </c>
      <c r="M131">
        <f t="shared" si="9"/>
        <v>5</v>
      </c>
      <c r="N131">
        <f t="shared" si="10"/>
        <v>30</v>
      </c>
      <c r="O131" s="5">
        <f t="shared" si="11"/>
        <v>105</v>
      </c>
    </row>
    <row r="132" spans="1:15" x14ac:dyDescent="0.3">
      <c r="A132" t="s">
        <v>152</v>
      </c>
      <c r="B132" s="3">
        <v>46291</v>
      </c>
      <c r="C132" t="s">
        <v>16</v>
      </c>
      <c r="D132" t="s">
        <v>34</v>
      </c>
      <c r="E132">
        <v>13</v>
      </c>
      <c r="F132">
        <v>50</v>
      </c>
      <c r="G132">
        <v>0</v>
      </c>
      <c r="H132">
        <v>10</v>
      </c>
      <c r="I132" t="s">
        <v>18</v>
      </c>
      <c r="J132" t="s">
        <v>19</v>
      </c>
      <c r="K132">
        <v>10</v>
      </c>
      <c r="L132">
        <f t="shared" si="8"/>
        <v>650</v>
      </c>
      <c r="M132">
        <f t="shared" si="9"/>
        <v>0</v>
      </c>
      <c r="N132">
        <f t="shared" si="10"/>
        <v>130</v>
      </c>
      <c r="O132" s="5">
        <f t="shared" si="11"/>
        <v>510</v>
      </c>
    </row>
    <row r="133" spans="1:15" x14ac:dyDescent="0.3">
      <c r="A133" t="s">
        <v>153</v>
      </c>
      <c r="B133" s="3">
        <v>46035</v>
      </c>
      <c r="C133" t="s">
        <v>16</v>
      </c>
      <c r="D133" t="s">
        <v>24</v>
      </c>
      <c r="E133">
        <v>1</v>
      </c>
      <c r="F133">
        <v>50</v>
      </c>
      <c r="G133">
        <v>0.35</v>
      </c>
      <c r="H133">
        <v>10</v>
      </c>
      <c r="I133" t="s">
        <v>18</v>
      </c>
      <c r="J133" t="s">
        <v>19</v>
      </c>
      <c r="K133">
        <v>10</v>
      </c>
      <c r="L133">
        <f t="shared" si="8"/>
        <v>50</v>
      </c>
      <c r="M133">
        <f t="shared" si="9"/>
        <v>17.5</v>
      </c>
      <c r="N133">
        <f t="shared" si="10"/>
        <v>10</v>
      </c>
      <c r="O133" s="5">
        <f t="shared" si="11"/>
        <v>30</v>
      </c>
    </row>
    <row r="134" spans="1:15" x14ac:dyDescent="0.3">
      <c r="A134" t="s">
        <v>154</v>
      </c>
      <c r="B134" s="3">
        <v>46354</v>
      </c>
      <c r="C134" t="s">
        <v>16</v>
      </c>
      <c r="D134" t="s">
        <v>24</v>
      </c>
      <c r="E134">
        <v>4</v>
      </c>
      <c r="F134">
        <v>50</v>
      </c>
      <c r="G134">
        <v>0.1</v>
      </c>
      <c r="H134">
        <v>20</v>
      </c>
      <c r="I134" t="s">
        <v>18</v>
      </c>
      <c r="J134" t="s">
        <v>19</v>
      </c>
      <c r="K134">
        <v>10</v>
      </c>
      <c r="L134">
        <f t="shared" si="8"/>
        <v>200</v>
      </c>
      <c r="M134">
        <f t="shared" si="9"/>
        <v>5</v>
      </c>
      <c r="N134">
        <f t="shared" si="10"/>
        <v>40</v>
      </c>
      <c r="O134" s="5">
        <f t="shared" si="11"/>
        <v>140</v>
      </c>
    </row>
    <row r="135" spans="1:15" x14ac:dyDescent="0.3">
      <c r="A135" t="s">
        <v>155</v>
      </c>
      <c r="B135" s="3">
        <v>46322</v>
      </c>
      <c r="C135" t="s">
        <v>16</v>
      </c>
      <c r="D135" t="s">
        <v>24</v>
      </c>
      <c r="E135">
        <v>16</v>
      </c>
      <c r="F135">
        <v>50</v>
      </c>
      <c r="G135">
        <v>0.1</v>
      </c>
      <c r="H135">
        <v>5</v>
      </c>
      <c r="I135" t="s">
        <v>18</v>
      </c>
      <c r="J135" t="s">
        <v>19</v>
      </c>
      <c r="K135">
        <v>10</v>
      </c>
      <c r="L135">
        <f t="shared" si="8"/>
        <v>800</v>
      </c>
      <c r="M135">
        <f t="shared" si="9"/>
        <v>5</v>
      </c>
      <c r="N135">
        <f t="shared" si="10"/>
        <v>160</v>
      </c>
      <c r="O135" s="5">
        <f t="shared" si="11"/>
        <v>635</v>
      </c>
    </row>
    <row r="136" spans="1:15" x14ac:dyDescent="0.3">
      <c r="A136" t="s">
        <v>156</v>
      </c>
      <c r="B136" s="3">
        <v>46368</v>
      </c>
      <c r="C136" t="s">
        <v>16</v>
      </c>
      <c r="D136" t="s">
        <v>34</v>
      </c>
      <c r="E136">
        <v>21</v>
      </c>
      <c r="F136">
        <v>50</v>
      </c>
      <c r="G136">
        <v>0.35</v>
      </c>
      <c r="H136">
        <v>10</v>
      </c>
      <c r="I136" t="s">
        <v>18</v>
      </c>
      <c r="J136" t="s">
        <v>19</v>
      </c>
      <c r="K136">
        <v>10</v>
      </c>
      <c r="L136">
        <f t="shared" si="8"/>
        <v>1050</v>
      </c>
      <c r="M136">
        <f t="shared" si="9"/>
        <v>17.5</v>
      </c>
      <c r="N136">
        <f t="shared" si="10"/>
        <v>210</v>
      </c>
      <c r="O136" s="5">
        <f t="shared" si="11"/>
        <v>830</v>
      </c>
    </row>
    <row r="137" spans="1:15" x14ac:dyDescent="0.3">
      <c r="A137" t="s">
        <v>157</v>
      </c>
      <c r="B137" s="3">
        <v>46098</v>
      </c>
      <c r="C137" t="s">
        <v>16</v>
      </c>
      <c r="D137" t="s">
        <v>24</v>
      </c>
      <c r="E137">
        <v>22</v>
      </c>
      <c r="F137">
        <v>50</v>
      </c>
      <c r="G137">
        <v>0</v>
      </c>
      <c r="H137">
        <v>5</v>
      </c>
      <c r="I137" t="s">
        <v>18</v>
      </c>
      <c r="J137" t="s">
        <v>19</v>
      </c>
      <c r="K137">
        <v>10</v>
      </c>
      <c r="L137">
        <f t="shared" si="8"/>
        <v>1100</v>
      </c>
      <c r="M137">
        <f t="shared" si="9"/>
        <v>0</v>
      </c>
      <c r="N137">
        <f t="shared" si="10"/>
        <v>220</v>
      </c>
      <c r="O137" s="5">
        <f t="shared" si="11"/>
        <v>875</v>
      </c>
    </row>
    <row r="138" spans="1:15" x14ac:dyDescent="0.3">
      <c r="A138" t="s">
        <v>158</v>
      </c>
      <c r="B138" s="3">
        <v>46081</v>
      </c>
      <c r="C138" t="s">
        <v>16</v>
      </c>
      <c r="D138" t="s">
        <v>34</v>
      </c>
      <c r="E138">
        <v>19</v>
      </c>
      <c r="F138">
        <v>50</v>
      </c>
      <c r="G138">
        <v>0.2</v>
      </c>
      <c r="H138">
        <v>20</v>
      </c>
      <c r="I138" t="s">
        <v>18</v>
      </c>
      <c r="J138" t="s">
        <v>19</v>
      </c>
      <c r="K138">
        <v>10</v>
      </c>
      <c r="L138">
        <f t="shared" si="8"/>
        <v>950</v>
      </c>
      <c r="M138">
        <f t="shared" si="9"/>
        <v>10</v>
      </c>
      <c r="N138">
        <f t="shared" si="10"/>
        <v>190</v>
      </c>
      <c r="O138" s="5">
        <f t="shared" si="11"/>
        <v>740</v>
      </c>
    </row>
    <row r="139" spans="1:15" x14ac:dyDescent="0.3">
      <c r="A139" t="s">
        <v>159</v>
      </c>
      <c r="B139" s="3">
        <v>46326</v>
      </c>
      <c r="C139" t="s">
        <v>16</v>
      </c>
      <c r="D139" t="s">
        <v>34</v>
      </c>
      <c r="E139">
        <v>8</v>
      </c>
      <c r="F139">
        <v>50</v>
      </c>
      <c r="G139">
        <v>0.1</v>
      </c>
      <c r="H139">
        <v>15</v>
      </c>
      <c r="I139" t="s">
        <v>18</v>
      </c>
      <c r="J139" t="s">
        <v>19</v>
      </c>
      <c r="K139">
        <v>10</v>
      </c>
      <c r="L139">
        <f t="shared" si="8"/>
        <v>400</v>
      </c>
      <c r="M139">
        <f t="shared" si="9"/>
        <v>5</v>
      </c>
      <c r="N139">
        <f t="shared" si="10"/>
        <v>80</v>
      </c>
      <c r="O139" s="5">
        <f t="shared" si="11"/>
        <v>305</v>
      </c>
    </row>
    <row r="140" spans="1:15" x14ac:dyDescent="0.3">
      <c r="A140" t="s">
        <v>160</v>
      </c>
      <c r="B140" s="3">
        <v>46259</v>
      </c>
      <c r="C140" t="s">
        <v>16</v>
      </c>
      <c r="D140" t="s">
        <v>17</v>
      </c>
      <c r="E140">
        <v>22</v>
      </c>
      <c r="F140">
        <v>50</v>
      </c>
      <c r="G140">
        <v>0</v>
      </c>
      <c r="H140">
        <v>15</v>
      </c>
      <c r="I140" t="s">
        <v>18</v>
      </c>
      <c r="J140" t="s">
        <v>19</v>
      </c>
      <c r="K140">
        <v>10</v>
      </c>
      <c r="L140">
        <f t="shared" si="8"/>
        <v>1100</v>
      </c>
      <c r="M140">
        <f t="shared" si="9"/>
        <v>0</v>
      </c>
      <c r="N140">
        <f t="shared" si="10"/>
        <v>220</v>
      </c>
      <c r="O140" s="5">
        <f t="shared" si="11"/>
        <v>865</v>
      </c>
    </row>
    <row r="141" spans="1:15" x14ac:dyDescent="0.3">
      <c r="A141" t="s">
        <v>161</v>
      </c>
      <c r="B141" s="3">
        <v>46345</v>
      </c>
      <c r="C141" t="s">
        <v>16</v>
      </c>
      <c r="D141" t="s">
        <v>34</v>
      </c>
      <c r="E141">
        <v>22</v>
      </c>
      <c r="F141">
        <v>50</v>
      </c>
      <c r="G141">
        <v>0.1</v>
      </c>
      <c r="H141">
        <v>10</v>
      </c>
      <c r="I141" t="s">
        <v>18</v>
      </c>
      <c r="J141" t="s">
        <v>19</v>
      </c>
      <c r="K141">
        <v>10</v>
      </c>
      <c r="L141">
        <f t="shared" si="8"/>
        <v>1100</v>
      </c>
      <c r="M141">
        <f t="shared" si="9"/>
        <v>5</v>
      </c>
      <c r="N141">
        <f t="shared" si="10"/>
        <v>220</v>
      </c>
      <c r="O141" s="5">
        <f t="shared" si="11"/>
        <v>870</v>
      </c>
    </row>
    <row r="142" spans="1:15" x14ac:dyDescent="0.3">
      <c r="A142" t="s">
        <v>162</v>
      </c>
      <c r="B142" s="3">
        <v>46053</v>
      </c>
      <c r="C142" t="s">
        <v>16</v>
      </c>
      <c r="D142" t="s">
        <v>17</v>
      </c>
      <c r="E142">
        <v>3</v>
      </c>
      <c r="F142">
        <v>50</v>
      </c>
      <c r="G142">
        <v>0.35</v>
      </c>
      <c r="H142">
        <v>5</v>
      </c>
      <c r="I142" t="s">
        <v>18</v>
      </c>
      <c r="J142" t="s">
        <v>19</v>
      </c>
      <c r="K142">
        <v>10</v>
      </c>
      <c r="L142">
        <f t="shared" si="8"/>
        <v>150</v>
      </c>
      <c r="M142">
        <f t="shared" si="9"/>
        <v>17.5</v>
      </c>
      <c r="N142">
        <f t="shared" si="10"/>
        <v>30</v>
      </c>
      <c r="O142" s="5">
        <f t="shared" si="11"/>
        <v>115</v>
      </c>
    </row>
    <row r="143" spans="1:15" x14ac:dyDescent="0.3">
      <c r="A143" t="s">
        <v>163</v>
      </c>
      <c r="B143" s="3">
        <v>46308</v>
      </c>
      <c r="C143" t="s">
        <v>16</v>
      </c>
      <c r="D143" t="s">
        <v>17</v>
      </c>
      <c r="E143">
        <v>19</v>
      </c>
      <c r="F143">
        <v>50</v>
      </c>
      <c r="G143">
        <v>0.2</v>
      </c>
      <c r="H143">
        <v>5</v>
      </c>
      <c r="I143" t="s">
        <v>18</v>
      </c>
      <c r="J143" t="s">
        <v>19</v>
      </c>
      <c r="K143">
        <v>10</v>
      </c>
      <c r="L143">
        <f t="shared" si="8"/>
        <v>950</v>
      </c>
      <c r="M143">
        <f t="shared" si="9"/>
        <v>10</v>
      </c>
      <c r="N143">
        <f t="shared" si="10"/>
        <v>190</v>
      </c>
      <c r="O143" s="5">
        <f t="shared" si="11"/>
        <v>755</v>
      </c>
    </row>
    <row r="144" spans="1:15" x14ac:dyDescent="0.3">
      <c r="A144" t="s">
        <v>164</v>
      </c>
      <c r="B144" s="3">
        <v>46246</v>
      </c>
      <c r="C144" t="s">
        <v>16</v>
      </c>
      <c r="D144" t="s">
        <v>34</v>
      </c>
      <c r="E144">
        <v>23</v>
      </c>
      <c r="F144">
        <v>50</v>
      </c>
      <c r="G144">
        <v>0.35</v>
      </c>
      <c r="H144">
        <v>15</v>
      </c>
      <c r="I144" t="s">
        <v>18</v>
      </c>
      <c r="J144" t="s">
        <v>19</v>
      </c>
      <c r="K144">
        <v>10</v>
      </c>
      <c r="L144">
        <f t="shared" si="8"/>
        <v>1150</v>
      </c>
      <c r="M144">
        <f t="shared" si="9"/>
        <v>17.5</v>
      </c>
      <c r="N144">
        <f t="shared" si="10"/>
        <v>230</v>
      </c>
      <c r="O144" s="5">
        <f t="shared" si="11"/>
        <v>905</v>
      </c>
    </row>
    <row r="145" spans="1:15" x14ac:dyDescent="0.3">
      <c r="A145" t="s">
        <v>165</v>
      </c>
      <c r="B145" s="3">
        <v>46302</v>
      </c>
      <c r="C145" t="s">
        <v>16</v>
      </c>
      <c r="D145" t="s">
        <v>22</v>
      </c>
      <c r="E145">
        <v>5</v>
      </c>
      <c r="F145">
        <v>50</v>
      </c>
      <c r="G145">
        <v>0</v>
      </c>
      <c r="H145">
        <v>15</v>
      </c>
      <c r="I145" t="s">
        <v>18</v>
      </c>
      <c r="J145" t="s">
        <v>19</v>
      </c>
      <c r="K145">
        <v>10</v>
      </c>
      <c r="L145">
        <f t="shared" si="8"/>
        <v>250</v>
      </c>
      <c r="M145">
        <f t="shared" si="9"/>
        <v>0</v>
      </c>
      <c r="N145">
        <f t="shared" si="10"/>
        <v>50</v>
      </c>
      <c r="O145" s="5">
        <f t="shared" si="11"/>
        <v>185</v>
      </c>
    </row>
    <row r="146" spans="1:15" x14ac:dyDescent="0.3">
      <c r="A146" t="s">
        <v>166</v>
      </c>
      <c r="B146" s="3">
        <v>46139</v>
      </c>
      <c r="C146" t="s">
        <v>16</v>
      </c>
      <c r="D146" t="s">
        <v>34</v>
      </c>
      <c r="E146">
        <v>20</v>
      </c>
      <c r="F146">
        <v>50</v>
      </c>
      <c r="G146">
        <v>0.1</v>
      </c>
      <c r="H146">
        <v>20</v>
      </c>
      <c r="I146" t="s">
        <v>18</v>
      </c>
      <c r="J146" t="s">
        <v>19</v>
      </c>
      <c r="K146">
        <v>10</v>
      </c>
      <c r="L146">
        <f t="shared" si="8"/>
        <v>1000</v>
      </c>
      <c r="M146">
        <f t="shared" si="9"/>
        <v>5</v>
      </c>
      <c r="N146">
        <f t="shared" si="10"/>
        <v>200</v>
      </c>
      <c r="O146" s="5">
        <f t="shared" si="11"/>
        <v>780</v>
      </c>
    </row>
    <row r="147" spans="1:15" x14ac:dyDescent="0.3">
      <c r="A147" t="s">
        <v>167</v>
      </c>
      <c r="B147" s="3">
        <v>46356</v>
      </c>
      <c r="C147" t="s">
        <v>16</v>
      </c>
      <c r="D147" t="s">
        <v>24</v>
      </c>
      <c r="E147">
        <v>21</v>
      </c>
      <c r="F147">
        <v>50</v>
      </c>
      <c r="G147">
        <v>0.35</v>
      </c>
      <c r="H147">
        <v>10</v>
      </c>
      <c r="I147" t="s">
        <v>18</v>
      </c>
      <c r="J147" t="s">
        <v>19</v>
      </c>
      <c r="K147">
        <v>10</v>
      </c>
      <c r="L147">
        <f t="shared" si="8"/>
        <v>1050</v>
      </c>
      <c r="M147">
        <f t="shared" si="9"/>
        <v>17.5</v>
      </c>
      <c r="N147">
        <f t="shared" si="10"/>
        <v>210</v>
      </c>
      <c r="O147" s="5">
        <f t="shared" si="11"/>
        <v>830</v>
      </c>
    </row>
    <row r="148" spans="1:15" x14ac:dyDescent="0.3">
      <c r="A148" t="s">
        <v>168</v>
      </c>
      <c r="B148" s="3">
        <v>46384</v>
      </c>
      <c r="C148" t="s">
        <v>16</v>
      </c>
      <c r="D148" t="s">
        <v>24</v>
      </c>
      <c r="E148">
        <v>11</v>
      </c>
      <c r="F148">
        <v>50</v>
      </c>
      <c r="G148">
        <v>0.1</v>
      </c>
      <c r="H148">
        <v>20</v>
      </c>
      <c r="I148" t="s">
        <v>18</v>
      </c>
      <c r="J148" t="s">
        <v>19</v>
      </c>
      <c r="K148">
        <v>10</v>
      </c>
      <c r="L148">
        <f t="shared" si="8"/>
        <v>550</v>
      </c>
      <c r="M148">
        <f t="shared" si="9"/>
        <v>5</v>
      </c>
      <c r="N148">
        <f t="shared" si="10"/>
        <v>110</v>
      </c>
      <c r="O148" s="5">
        <f t="shared" si="11"/>
        <v>420</v>
      </c>
    </row>
    <row r="149" spans="1:15" x14ac:dyDescent="0.3">
      <c r="A149" t="s">
        <v>169</v>
      </c>
      <c r="B149" s="3">
        <v>46168</v>
      </c>
      <c r="C149" t="s">
        <v>16</v>
      </c>
      <c r="D149" t="s">
        <v>17</v>
      </c>
      <c r="E149">
        <v>24</v>
      </c>
      <c r="F149">
        <v>50</v>
      </c>
      <c r="G149">
        <v>0.2</v>
      </c>
      <c r="H149">
        <v>20</v>
      </c>
      <c r="I149" t="s">
        <v>18</v>
      </c>
      <c r="J149" t="s">
        <v>19</v>
      </c>
      <c r="K149">
        <v>10</v>
      </c>
      <c r="L149">
        <f t="shared" si="8"/>
        <v>1200</v>
      </c>
      <c r="M149">
        <f t="shared" si="9"/>
        <v>10</v>
      </c>
      <c r="N149">
        <f t="shared" si="10"/>
        <v>240</v>
      </c>
      <c r="O149" s="5">
        <f t="shared" si="11"/>
        <v>940</v>
      </c>
    </row>
    <row r="150" spans="1:15" x14ac:dyDescent="0.3">
      <c r="A150" t="s">
        <v>170</v>
      </c>
      <c r="B150" s="3">
        <v>46344</v>
      </c>
      <c r="C150" t="s">
        <v>16</v>
      </c>
      <c r="D150" t="s">
        <v>24</v>
      </c>
      <c r="E150">
        <v>5</v>
      </c>
      <c r="F150">
        <v>50</v>
      </c>
      <c r="G150">
        <v>0.1</v>
      </c>
      <c r="H150">
        <v>20</v>
      </c>
      <c r="I150" t="s">
        <v>18</v>
      </c>
      <c r="J150" t="s">
        <v>19</v>
      </c>
      <c r="K150">
        <v>10</v>
      </c>
      <c r="L150">
        <f t="shared" si="8"/>
        <v>250</v>
      </c>
      <c r="M150">
        <f t="shared" si="9"/>
        <v>5</v>
      </c>
      <c r="N150">
        <f t="shared" si="10"/>
        <v>50</v>
      </c>
      <c r="O150" s="5">
        <f t="shared" si="11"/>
        <v>180</v>
      </c>
    </row>
    <row r="151" spans="1:15" x14ac:dyDescent="0.3">
      <c r="A151" t="s">
        <v>171</v>
      </c>
      <c r="B151" s="3">
        <v>46326</v>
      </c>
      <c r="C151" t="s">
        <v>16</v>
      </c>
      <c r="D151" t="s">
        <v>22</v>
      </c>
      <c r="E151">
        <v>13</v>
      </c>
      <c r="F151">
        <v>50</v>
      </c>
      <c r="G151">
        <v>0</v>
      </c>
      <c r="H151">
        <v>20</v>
      </c>
      <c r="I151" t="s">
        <v>18</v>
      </c>
      <c r="J151" t="s">
        <v>19</v>
      </c>
      <c r="K151">
        <v>10</v>
      </c>
      <c r="L151">
        <f t="shared" si="8"/>
        <v>650</v>
      </c>
      <c r="M151">
        <f t="shared" si="9"/>
        <v>0</v>
      </c>
      <c r="N151">
        <f t="shared" si="10"/>
        <v>130</v>
      </c>
      <c r="O151" s="5">
        <f t="shared" si="11"/>
        <v>500</v>
      </c>
    </row>
    <row r="152" spans="1:15" x14ac:dyDescent="0.3">
      <c r="A152" t="s">
        <v>172</v>
      </c>
      <c r="B152" s="3">
        <v>46336</v>
      </c>
      <c r="C152" t="s">
        <v>16</v>
      </c>
      <c r="D152" t="s">
        <v>17</v>
      </c>
      <c r="E152">
        <v>19</v>
      </c>
      <c r="F152">
        <v>50</v>
      </c>
      <c r="G152">
        <v>0.2</v>
      </c>
      <c r="H152">
        <v>20</v>
      </c>
      <c r="I152" t="s">
        <v>18</v>
      </c>
      <c r="J152" t="s">
        <v>19</v>
      </c>
      <c r="K152">
        <v>10</v>
      </c>
      <c r="L152">
        <f t="shared" si="8"/>
        <v>950</v>
      </c>
      <c r="M152">
        <f t="shared" si="9"/>
        <v>10</v>
      </c>
      <c r="N152">
        <f t="shared" si="10"/>
        <v>190</v>
      </c>
      <c r="O152" s="5">
        <f t="shared" si="11"/>
        <v>740</v>
      </c>
    </row>
    <row r="153" spans="1:15" x14ac:dyDescent="0.3">
      <c r="A153" t="s">
        <v>173</v>
      </c>
      <c r="B153" s="3">
        <v>46249</v>
      </c>
      <c r="C153" t="s">
        <v>16</v>
      </c>
      <c r="D153" t="s">
        <v>24</v>
      </c>
      <c r="E153">
        <v>18</v>
      </c>
      <c r="F153">
        <v>50</v>
      </c>
      <c r="G153">
        <v>0.35</v>
      </c>
      <c r="H153">
        <v>20</v>
      </c>
      <c r="I153" t="s">
        <v>18</v>
      </c>
      <c r="J153" t="s">
        <v>19</v>
      </c>
      <c r="K153">
        <v>10</v>
      </c>
      <c r="L153">
        <f t="shared" si="8"/>
        <v>900</v>
      </c>
      <c r="M153">
        <f t="shared" si="9"/>
        <v>17.5</v>
      </c>
      <c r="N153">
        <f t="shared" si="10"/>
        <v>180</v>
      </c>
      <c r="O153" s="5">
        <f t="shared" si="11"/>
        <v>700</v>
      </c>
    </row>
    <row r="154" spans="1:15" x14ac:dyDescent="0.3">
      <c r="A154" t="s">
        <v>174</v>
      </c>
      <c r="B154" s="3">
        <v>46217</v>
      </c>
      <c r="C154" t="s">
        <v>16</v>
      </c>
      <c r="D154" t="s">
        <v>17</v>
      </c>
      <c r="E154">
        <v>20</v>
      </c>
      <c r="F154">
        <v>50</v>
      </c>
      <c r="G154">
        <v>0.35</v>
      </c>
      <c r="H154">
        <v>5</v>
      </c>
      <c r="I154" t="s">
        <v>18</v>
      </c>
      <c r="J154" t="s">
        <v>19</v>
      </c>
      <c r="K154">
        <v>10</v>
      </c>
      <c r="L154">
        <f t="shared" si="8"/>
        <v>1000</v>
      </c>
      <c r="M154">
        <f t="shared" si="9"/>
        <v>17.5</v>
      </c>
      <c r="N154">
        <f t="shared" si="10"/>
        <v>200</v>
      </c>
      <c r="O154" s="5">
        <f t="shared" si="11"/>
        <v>795</v>
      </c>
    </row>
    <row r="155" spans="1:15" x14ac:dyDescent="0.3">
      <c r="A155" t="s">
        <v>175</v>
      </c>
      <c r="B155" s="3">
        <v>46221</v>
      </c>
      <c r="C155" t="s">
        <v>16</v>
      </c>
      <c r="D155" t="s">
        <v>24</v>
      </c>
      <c r="E155">
        <v>19</v>
      </c>
      <c r="F155">
        <v>50</v>
      </c>
      <c r="G155">
        <v>0.2</v>
      </c>
      <c r="H155">
        <v>15</v>
      </c>
      <c r="I155" t="s">
        <v>18</v>
      </c>
      <c r="J155" t="s">
        <v>19</v>
      </c>
      <c r="K155">
        <v>10</v>
      </c>
      <c r="L155">
        <f t="shared" si="8"/>
        <v>950</v>
      </c>
      <c r="M155">
        <f t="shared" si="9"/>
        <v>10</v>
      </c>
      <c r="N155">
        <f t="shared" si="10"/>
        <v>190</v>
      </c>
      <c r="O155" s="5">
        <f t="shared" si="11"/>
        <v>745</v>
      </c>
    </row>
    <row r="156" spans="1:15" x14ac:dyDescent="0.3">
      <c r="A156" t="s">
        <v>176</v>
      </c>
      <c r="B156" s="3">
        <v>46149</v>
      </c>
      <c r="C156" t="s">
        <v>16</v>
      </c>
      <c r="D156" t="s">
        <v>17</v>
      </c>
      <c r="E156">
        <v>24</v>
      </c>
      <c r="F156">
        <v>50</v>
      </c>
      <c r="G156">
        <v>0.35</v>
      </c>
      <c r="H156">
        <v>15</v>
      </c>
      <c r="I156" t="s">
        <v>18</v>
      </c>
      <c r="J156" t="s">
        <v>19</v>
      </c>
      <c r="K156">
        <v>10</v>
      </c>
      <c r="L156">
        <f t="shared" si="8"/>
        <v>1200</v>
      </c>
      <c r="M156">
        <f t="shared" si="9"/>
        <v>17.5</v>
      </c>
      <c r="N156">
        <f t="shared" si="10"/>
        <v>240</v>
      </c>
      <c r="O156" s="5">
        <f t="shared" si="11"/>
        <v>945</v>
      </c>
    </row>
    <row r="157" spans="1:15" x14ac:dyDescent="0.3">
      <c r="A157" t="s">
        <v>177</v>
      </c>
      <c r="B157" s="3">
        <v>46230</v>
      </c>
      <c r="C157" t="s">
        <v>16</v>
      </c>
      <c r="D157" t="s">
        <v>22</v>
      </c>
      <c r="E157">
        <v>7</v>
      </c>
      <c r="F157">
        <v>50</v>
      </c>
      <c r="G157">
        <v>0.1</v>
      </c>
      <c r="H157">
        <v>5</v>
      </c>
      <c r="I157" t="s">
        <v>18</v>
      </c>
      <c r="J157" t="s">
        <v>19</v>
      </c>
      <c r="K157">
        <v>10</v>
      </c>
      <c r="L157">
        <f t="shared" si="8"/>
        <v>350</v>
      </c>
      <c r="M157">
        <f t="shared" si="9"/>
        <v>5</v>
      </c>
      <c r="N157">
        <f t="shared" si="10"/>
        <v>70</v>
      </c>
      <c r="O157" s="5">
        <f t="shared" si="11"/>
        <v>275</v>
      </c>
    </row>
    <row r="158" spans="1:15" x14ac:dyDescent="0.3">
      <c r="A158" t="s">
        <v>178</v>
      </c>
      <c r="B158" s="3">
        <v>46150</v>
      </c>
      <c r="C158" t="s">
        <v>16</v>
      </c>
      <c r="D158" t="s">
        <v>22</v>
      </c>
      <c r="E158">
        <v>6</v>
      </c>
      <c r="F158">
        <v>50</v>
      </c>
      <c r="G158">
        <v>0.35</v>
      </c>
      <c r="H158">
        <v>15</v>
      </c>
      <c r="I158" t="s">
        <v>18</v>
      </c>
      <c r="J158" t="s">
        <v>19</v>
      </c>
      <c r="K158">
        <v>10</v>
      </c>
      <c r="L158">
        <f t="shared" si="8"/>
        <v>300</v>
      </c>
      <c r="M158">
        <f t="shared" si="9"/>
        <v>17.5</v>
      </c>
      <c r="N158">
        <f t="shared" si="10"/>
        <v>60</v>
      </c>
      <c r="O158" s="5">
        <f t="shared" si="11"/>
        <v>225</v>
      </c>
    </row>
    <row r="159" spans="1:15" x14ac:dyDescent="0.3">
      <c r="A159" t="s">
        <v>179</v>
      </c>
      <c r="B159" s="3">
        <v>46386</v>
      </c>
      <c r="C159" t="s">
        <v>16</v>
      </c>
      <c r="D159" t="s">
        <v>34</v>
      </c>
      <c r="E159">
        <v>8</v>
      </c>
      <c r="F159">
        <v>50</v>
      </c>
      <c r="G159">
        <v>0.35</v>
      </c>
      <c r="H159">
        <v>5</v>
      </c>
      <c r="I159" t="s">
        <v>18</v>
      </c>
      <c r="J159" t="s">
        <v>19</v>
      </c>
      <c r="K159">
        <v>10</v>
      </c>
      <c r="L159">
        <f t="shared" si="8"/>
        <v>400</v>
      </c>
      <c r="M159">
        <f t="shared" si="9"/>
        <v>17.5</v>
      </c>
      <c r="N159">
        <f t="shared" si="10"/>
        <v>80</v>
      </c>
      <c r="O159" s="5">
        <f t="shared" si="11"/>
        <v>315</v>
      </c>
    </row>
    <row r="160" spans="1:15" x14ac:dyDescent="0.3">
      <c r="A160" t="s">
        <v>180</v>
      </c>
      <c r="B160" s="3">
        <v>46292</v>
      </c>
      <c r="C160" t="s">
        <v>16</v>
      </c>
      <c r="D160" t="s">
        <v>24</v>
      </c>
      <c r="E160">
        <v>21</v>
      </c>
      <c r="F160">
        <v>50</v>
      </c>
      <c r="G160">
        <v>0.1</v>
      </c>
      <c r="H160">
        <v>20</v>
      </c>
      <c r="I160" t="s">
        <v>18</v>
      </c>
      <c r="J160" t="s">
        <v>19</v>
      </c>
      <c r="K160">
        <v>10</v>
      </c>
      <c r="L160">
        <f t="shared" si="8"/>
        <v>1050</v>
      </c>
      <c r="M160">
        <f t="shared" si="9"/>
        <v>5</v>
      </c>
      <c r="N160">
        <f t="shared" si="10"/>
        <v>210</v>
      </c>
      <c r="O160" s="5">
        <f t="shared" si="11"/>
        <v>820</v>
      </c>
    </row>
    <row r="161" spans="1:15" x14ac:dyDescent="0.3">
      <c r="A161" t="s">
        <v>181</v>
      </c>
      <c r="B161" s="3">
        <v>46228</v>
      </c>
      <c r="C161" t="s">
        <v>16</v>
      </c>
      <c r="D161" t="s">
        <v>17</v>
      </c>
      <c r="E161">
        <v>5</v>
      </c>
      <c r="F161">
        <v>50</v>
      </c>
      <c r="G161">
        <v>0.2</v>
      </c>
      <c r="H161">
        <v>15</v>
      </c>
      <c r="I161" t="s">
        <v>18</v>
      </c>
      <c r="J161" t="s">
        <v>19</v>
      </c>
      <c r="K161">
        <v>10</v>
      </c>
      <c r="L161">
        <f t="shared" si="8"/>
        <v>250</v>
      </c>
      <c r="M161">
        <f t="shared" si="9"/>
        <v>10</v>
      </c>
      <c r="N161">
        <f t="shared" si="10"/>
        <v>50</v>
      </c>
      <c r="O161" s="5">
        <f t="shared" si="11"/>
        <v>185</v>
      </c>
    </row>
    <row r="162" spans="1:15" x14ac:dyDescent="0.3">
      <c r="A162" t="s">
        <v>182</v>
      </c>
      <c r="B162" s="3">
        <v>46063</v>
      </c>
      <c r="C162" t="s">
        <v>16</v>
      </c>
      <c r="D162" t="s">
        <v>24</v>
      </c>
      <c r="E162">
        <v>4</v>
      </c>
      <c r="F162">
        <v>50</v>
      </c>
      <c r="G162">
        <v>0.1</v>
      </c>
      <c r="H162">
        <v>20</v>
      </c>
      <c r="I162" t="s">
        <v>18</v>
      </c>
      <c r="J162" t="s">
        <v>19</v>
      </c>
      <c r="K162">
        <v>10</v>
      </c>
      <c r="L162">
        <f t="shared" si="8"/>
        <v>200</v>
      </c>
      <c r="M162">
        <f t="shared" si="9"/>
        <v>5</v>
      </c>
      <c r="N162">
        <f t="shared" si="10"/>
        <v>40</v>
      </c>
      <c r="O162" s="5">
        <f t="shared" si="11"/>
        <v>140</v>
      </c>
    </row>
    <row r="163" spans="1:15" x14ac:dyDescent="0.3">
      <c r="A163" t="s">
        <v>183</v>
      </c>
      <c r="B163" s="3">
        <v>46325</v>
      </c>
      <c r="C163" t="s">
        <v>16</v>
      </c>
      <c r="D163" t="s">
        <v>22</v>
      </c>
      <c r="E163">
        <v>13</v>
      </c>
      <c r="F163">
        <v>50</v>
      </c>
      <c r="G163">
        <v>0.1</v>
      </c>
      <c r="H163">
        <v>5</v>
      </c>
      <c r="I163" t="s">
        <v>18</v>
      </c>
      <c r="J163" t="s">
        <v>19</v>
      </c>
      <c r="K163">
        <v>10</v>
      </c>
      <c r="L163">
        <f t="shared" si="8"/>
        <v>650</v>
      </c>
      <c r="M163">
        <f t="shared" si="9"/>
        <v>5</v>
      </c>
      <c r="N163">
        <f t="shared" si="10"/>
        <v>130</v>
      </c>
      <c r="O163" s="5">
        <f t="shared" si="11"/>
        <v>515</v>
      </c>
    </row>
    <row r="164" spans="1:15" x14ac:dyDescent="0.3">
      <c r="A164" t="s">
        <v>184</v>
      </c>
      <c r="B164" s="3">
        <v>46370</v>
      </c>
      <c r="C164" t="s">
        <v>16</v>
      </c>
      <c r="D164" t="s">
        <v>17</v>
      </c>
      <c r="E164">
        <v>2</v>
      </c>
      <c r="F164">
        <v>50</v>
      </c>
      <c r="G164">
        <v>0.35</v>
      </c>
      <c r="H164">
        <v>20</v>
      </c>
      <c r="I164" t="s">
        <v>18</v>
      </c>
      <c r="J164" t="s">
        <v>19</v>
      </c>
      <c r="K164">
        <v>10</v>
      </c>
      <c r="L164">
        <f t="shared" si="8"/>
        <v>100</v>
      </c>
      <c r="M164">
        <f t="shared" si="9"/>
        <v>17.5</v>
      </c>
      <c r="N164">
        <f t="shared" si="10"/>
        <v>20</v>
      </c>
      <c r="O164" s="5">
        <f t="shared" si="11"/>
        <v>60</v>
      </c>
    </row>
    <row r="165" spans="1:15" x14ac:dyDescent="0.3">
      <c r="A165" t="s">
        <v>185</v>
      </c>
      <c r="B165" s="3">
        <v>46078</v>
      </c>
      <c r="C165" t="s">
        <v>16</v>
      </c>
      <c r="D165" t="s">
        <v>17</v>
      </c>
      <c r="E165">
        <v>3</v>
      </c>
      <c r="F165">
        <v>50</v>
      </c>
      <c r="G165">
        <v>0</v>
      </c>
      <c r="H165">
        <v>20</v>
      </c>
      <c r="I165" t="s">
        <v>18</v>
      </c>
      <c r="J165" t="s">
        <v>19</v>
      </c>
      <c r="K165">
        <v>10</v>
      </c>
      <c r="L165">
        <f t="shared" si="8"/>
        <v>150</v>
      </c>
      <c r="M165">
        <f t="shared" si="9"/>
        <v>0</v>
      </c>
      <c r="N165">
        <f t="shared" si="10"/>
        <v>30</v>
      </c>
      <c r="O165" s="5">
        <f t="shared" si="11"/>
        <v>100</v>
      </c>
    </row>
    <row r="166" spans="1:15" x14ac:dyDescent="0.3">
      <c r="A166" t="s">
        <v>186</v>
      </c>
      <c r="B166" s="3">
        <v>46177</v>
      </c>
      <c r="C166" t="s">
        <v>16</v>
      </c>
      <c r="D166" t="s">
        <v>24</v>
      </c>
      <c r="E166">
        <v>8</v>
      </c>
      <c r="F166">
        <v>50</v>
      </c>
      <c r="G166">
        <v>0</v>
      </c>
      <c r="H166">
        <v>10</v>
      </c>
      <c r="I166" t="s">
        <v>18</v>
      </c>
      <c r="J166" t="s">
        <v>19</v>
      </c>
      <c r="K166">
        <v>10</v>
      </c>
      <c r="L166">
        <f t="shared" si="8"/>
        <v>400</v>
      </c>
      <c r="M166">
        <f t="shared" si="9"/>
        <v>0</v>
      </c>
      <c r="N166">
        <f t="shared" si="10"/>
        <v>80</v>
      </c>
      <c r="O166" s="5">
        <f t="shared" si="11"/>
        <v>310</v>
      </c>
    </row>
    <row r="167" spans="1:15" x14ac:dyDescent="0.3">
      <c r="A167" t="s">
        <v>187</v>
      </c>
      <c r="B167" s="3">
        <v>46088</v>
      </c>
      <c r="C167" t="s">
        <v>16</v>
      </c>
      <c r="D167" t="s">
        <v>22</v>
      </c>
      <c r="E167">
        <v>21</v>
      </c>
      <c r="F167">
        <v>50</v>
      </c>
      <c r="G167">
        <v>0.1</v>
      </c>
      <c r="H167">
        <v>15</v>
      </c>
      <c r="I167" t="s">
        <v>18</v>
      </c>
      <c r="J167" t="s">
        <v>19</v>
      </c>
      <c r="K167">
        <v>10</v>
      </c>
      <c r="L167">
        <f t="shared" si="8"/>
        <v>1050</v>
      </c>
      <c r="M167">
        <f t="shared" si="9"/>
        <v>5</v>
      </c>
      <c r="N167">
        <f t="shared" si="10"/>
        <v>210</v>
      </c>
      <c r="O167" s="5">
        <f t="shared" si="11"/>
        <v>825</v>
      </c>
    </row>
    <row r="168" spans="1:15" x14ac:dyDescent="0.3">
      <c r="A168" t="s">
        <v>188</v>
      </c>
      <c r="B168" s="3">
        <v>46062</v>
      </c>
      <c r="C168" t="s">
        <v>16</v>
      </c>
      <c r="D168" t="s">
        <v>22</v>
      </c>
      <c r="E168">
        <v>4</v>
      </c>
      <c r="F168">
        <v>50</v>
      </c>
      <c r="G168">
        <v>0.1</v>
      </c>
      <c r="H168">
        <v>20</v>
      </c>
      <c r="I168" t="s">
        <v>18</v>
      </c>
      <c r="J168" t="s">
        <v>19</v>
      </c>
      <c r="K168">
        <v>10</v>
      </c>
      <c r="L168">
        <f t="shared" si="8"/>
        <v>200</v>
      </c>
      <c r="M168">
        <f t="shared" si="9"/>
        <v>5</v>
      </c>
      <c r="N168">
        <f t="shared" si="10"/>
        <v>40</v>
      </c>
      <c r="O168" s="5">
        <f t="shared" si="11"/>
        <v>140</v>
      </c>
    </row>
    <row r="169" spans="1:15" x14ac:dyDescent="0.3">
      <c r="A169" t="s">
        <v>189</v>
      </c>
      <c r="B169" s="3">
        <v>46213</v>
      </c>
      <c r="C169" t="s">
        <v>16</v>
      </c>
      <c r="D169" t="s">
        <v>17</v>
      </c>
      <c r="E169">
        <v>9</v>
      </c>
      <c r="F169">
        <v>50</v>
      </c>
      <c r="G169">
        <v>0.1</v>
      </c>
      <c r="H169">
        <v>10</v>
      </c>
      <c r="I169" t="s">
        <v>18</v>
      </c>
      <c r="J169" t="s">
        <v>19</v>
      </c>
      <c r="K169">
        <v>10</v>
      </c>
      <c r="L169">
        <f t="shared" si="8"/>
        <v>450</v>
      </c>
      <c r="M169">
        <f t="shared" si="9"/>
        <v>5</v>
      </c>
      <c r="N169">
        <f t="shared" si="10"/>
        <v>90</v>
      </c>
      <c r="O169" s="5">
        <f t="shared" si="11"/>
        <v>350</v>
      </c>
    </row>
    <row r="170" spans="1:15" x14ac:dyDescent="0.3">
      <c r="A170" t="s">
        <v>190</v>
      </c>
      <c r="B170" s="3">
        <v>46047</v>
      </c>
      <c r="C170" t="s">
        <v>16</v>
      </c>
      <c r="D170" t="s">
        <v>17</v>
      </c>
      <c r="E170">
        <v>21</v>
      </c>
      <c r="F170">
        <v>50</v>
      </c>
      <c r="G170">
        <v>0.35</v>
      </c>
      <c r="H170">
        <v>5</v>
      </c>
      <c r="I170" t="s">
        <v>18</v>
      </c>
      <c r="J170" t="s">
        <v>19</v>
      </c>
      <c r="K170">
        <v>10</v>
      </c>
      <c r="L170">
        <f t="shared" si="8"/>
        <v>1050</v>
      </c>
      <c r="M170">
        <f t="shared" si="9"/>
        <v>17.5</v>
      </c>
      <c r="N170">
        <f t="shared" si="10"/>
        <v>210</v>
      </c>
      <c r="O170" s="5">
        <f t="shared" si="11"/>
        <v>835</v>
      </c>
    </row>
    <row r="171" spans="1:15" x14ac:dyDescent="0.3">
      <c r="A171" t="s">
        <v>191</v>
      </c>
      <c r="B171" s="3">
        <v>46160</v>
      </c>
      <c r="C171" t="s">
        <v>16</v>
      </c>
      <c r="D171" t="s">
        <v>34</v>
      </c>
      <c r="E171">
        <v>13</v>
      </c>
      <c r="F171">
        <v>50</v>
      </c>
      <c r="G171">
        <v>0.2</v>
      </c>
      <c r="H171">
        <v>10</v>
      </c>
      <c r="I171" t="s">
        <v>18</v>
      </c>
      <c r="J171" t="s">
        <v>19</v>
      </c>
      <c r="K171">
        <v>10</v>
      </c>
      <c r="L171">
        <f t="shared" si="8"/>
        <v>650</v>
      </c>
      <c r="M171">
        <f t="shared" si="9"/>
        <v>10</v>
      </c>
      <c r="N171">
        <f t="shared" si="10"/>
        <v>130</v>
      </c>
      <c r="O171" s="5">
        <f t="shared" si="11"/>
        <v>510</v>
      </c>
    </row>
    <row r="172" spans="1:15" x14ac:dyDescent="0.3">
      <c r="A172" t="s">
        <v>192</v>
      </c>
      <c r="B172" s="3">
        <v>46094</v>
      </c>
      <c r="C172" t="s">
        <v>16</v>
      </c>
      <c r="D172" t="s">
        <v>24</v>
      </c>
      <c r="E172">
        <v>21</v>
      </c>
      <c r="F172">
        <v>50</v>
      </c>
      <c r="G172">
        <v>0.2</v>
      </c>
      <c r="H172">
        <v>15</v>
      </c>
      <c r="I172" t="s">
        <v>18</v>
      </c>
      <c r="J172" t="s">
        <v>19</v>
      </c>
      <c r="K172">
        <v>10</v>
      </c>
      <c r="L172">
        <f t="shared" si="8"/>
        <v>1050</v>
      </c>
      <c r="M172">
        <f t="shared" si="9"/>
        <v>10</v>
      </c>
      <c r="N172">
        <f t="shared" si="10"/>
        <v>210</v>
      </c>
      <c r="O172" s="5">
        <f t="shared" si="11"/>
        <v>825</v>
      </c>
    </row>
    <row r="173" spans="1:15" x14ac:dyDescent="0.3">
      <c r="A173" t="s">
        <v>193</v>
      </c>
      <c r="B173" s="3">
        <v>46042</v>
      </c>
      <c r="C173" t="s">
        <v>16</v>
      </c>
      <c r="D173" t="s">
        <v>22</v>
      </c>
      <c r="E173">
        <v>15</v>
      </c>
      <c r="F173">
        <v>50</v>
      </c>
      <c r="G173">
        <v>0.2</v>
      </c>
      <c r="H173">
        <v>5</v>
      </c>
      <c r="I173" t="s">
        <v>18</v>
      </c>
      <c r="J173" t="s">
        <v>19</v>
      </c>
      <c r="K173">
        <v>10</v>
      </c>
      <c r="L173">
        <f t="shared" si="8"/>
        <v>750</v>
      </c>
      <c r="M173">
        <f t="shared" si="9"/>
        <v>10</v>
      </c>
      <c r="N173">
        <f t="shared" si="10"/>
        <v>150</v>
      </c>
      <c r="O173" s="5">
        <f t="shared" si="11"/>
        <v>595</v>
      </c>
    </row>
    <row r="174" spans="1:15" x14ac:dyDescent="0.3">
      <c r="A174" t="s">
        <v>194</v>
      </c>
      <c r="B174" s="3">
        <v>46164</v>
      </c>
      <c r="C174" t="s">
        <v>16</v>
      </c>
      <c r="D174" t="s">
        <v>24</v>
      </c>
      <c r="E174">
        <v>24</v>
      </c>
      <c r="F174">
        <v>50</v>
      </c>
      <c r="G174">
        <v>0.35</v>
      </c>
      <c r="H174">
        <v>5</v>
      </c>
      <c r="I174" t="s">
        <v>18</v>
      </c>
      <c r="J174" t="s">
        <v>19</v>
      </c>
      <c r="K174">
        <v>10</v>
      </c>
      <c r="L174">
        <f t="shared" si="8"/>
        <v>1200</v>
      </c>
      <c r="M174">
        <f t="shared" si="9"/>
        <v>17.5</v>
      </c>
      <c r="N174">
        <f t="shared" si="10"/>
        <v>240</v>
      </c>
      <c r="O174" s="5">
        <f t="shared" si="11"/>
        <v>955</v>
      </c>
    </row>
    <row r="175" spans="1:15" x14ac:dyDescent="0.3">
      <c r="A175" t="s">
        <v>195</v>
      </c>
      <c r="B175" s="3">
        <v>46207</v>
      </c>
      <c r="C175" t="s">
        <v>16</v>
      </c>
      <c r="D175" t="s">
        <v>17</v>
      </c>
      <c r="E175">
        <v>4</v>
      </c>
      <c r="F175">
        <v>50</v>
      </c>
      <c r="G175">
        <v>0.1</v>
      </c>
      <c r="H175">
        <v>10</v>
      </c>
      <c r="I175" t="s">
        <v>18</v>
      </c>
      <c r="J175" t="s">
        <v>19</v>
      </c>
      <c r="K175">
        <v>10</v>
      </c>
      <c r="L175">
        <f t="shared" si="8"/>
        <v>200</v>
      </c>
      <c r="M175">
        <f t="shared" si="9"/>
        <v>5</v>
      </c>
      <c r="N175">
        <f t="shared" si="10"/>
        <v>40</v>
      </c>
      <c r="O175" s="5">
        <f t="shared" si="11"/>
        <v>150</v>
      </c>
    </row>
    <row r="176" spans="1:15" x14ac:dyDescent="0.3">
      <c r="A176" t="s">
        <v>196</v>
      </c>
      <c r="B176" s="3">
        <v>46145</v>
      </c>
      <c r="C176" t="s">
        <v>16</v>
      </c>
      <c r="D176" t="s">
        <v>17</v>
      </c>
      <c r="E176">
        <v>23</v>
      </c>
      <c r="F176">
        <v>50</v>
      </c>
      <c r="G176">
        <v>0.35</v>
      </c>
      <c r="H176">
        <v>15</v>
      </c>
      <c r="I176" t="s">
        <v>18</v>
      </c>
      <c r="J176" t="s">
        <v>19</v>
      </c>
      <c r="K176">
        <v>10</v>
      </c>
      <c r="L176">
        <f t="shared" si="8"/>
        <v>1150</v>
      </c>
      <c r="M176">
        <f t="shared" si="9"/>
        <v>17.5</v>
      </c>
      <c r="N176">
        <f t="shared" si="10"/>
        <v>230</v>
      </c>
      <c r="O176" s="5">
        <f t="shared" si="11"/>
        <v>905</v>
      </c>
    </row>
    <row r="177" spans="1:15" x14ac:dyDescent="0.3">
      <c r="A177" t="s">
        <v>197</v>
      </c>
      <c r="B177" s="3">
        <v>46225</v>
      </c>
      <c r="C177" t="s">
        <v>16</v>
      </c>
      <c r="D177" t="s">
        <v>24</v>
      </c>
      <c r="E177">
        <v>6</v>
      </c>
      <c r="F177">
        <v>50</v>
      </c>
      <c r="G177">
        <v>0</v>
      </c>
      <c r="H177">
        <v>15</v>
      </c>
      <c r="I177" t="s">
        <v>18</v>
      </c>
      <c r="J177" t="s">
        <v>19</v>
      </c>
      <c r="K177">
        <v>10</v>
      </c>
      <c r="L177">
        <f t="shared" si="8"/>
        <v>300</v>
      </c>
      <c r="M177">
        <f t="shared" si="9"/>
        <v>0</v>
      </c>
      <c r="N177">
        <f t="shared" si="10"/>
        <v>60</v>
      </c>
      <c r="O177" s="5">
        <f t="shared" si="11"/>
        <v>225</v>
      </c>
    </row>
    <row r="178" spans="1:15" x14ac:dyDescent="0.3">
      <c r="A178" t="s">
        <v>198</v>
      </c>
      <c r="B178" s="3">
        <v>46165</v>
      </c>
      <c r="C178" t="s">
        <v>16</v>
      </c>
      <c r="D178" t="s">
        <v>34</v>
      </c>
      <c r="E178">
        <v>6</v>
      </c>
      <c r="F178">
        <v>50</v>
      </c>
      <c r="G178">
        <v>0</v>
      </c>
      <c r="H178">
        <v>20</v>
      </c>
      <c r="I178" t="s">
        <v>18</v>
      </c>
      <c r="J178" t="s">
        <v>19</v>
      </c>
      <c r="K178">
        <v>10</v>
      </c>
      <c r="L178">
        <f t="shared" si="8"/>
        <v>300</v>
      </c>
      <c r="M178">
        <f t="shared" si="9"/>
        <v>0</v>
      </c>
      <c r="N178">
        <f t="shared" si="10"/>
        <v>60</v>
      </c>
      <c r="O178" s="5">
        <f t="shared" si="11"/>
        <v>220</v>
      </c>
    </row>
    <row r="179" spans="1:15" x14ac:dyDescent="0.3">
      <c r="A179" t="s">
        <v>199</v>
      </c>
      <c r="B179" s="3">
        <v>46154</v>
      </c>
      <c r="C179" t="s">
        <v>16</v>
      </c>
      <c r="D179" t="s">
        <v>34</v>
      </c>
      <c r="E179">
        <v>8</v>
      </c>
      <c r="F179">
        <v>50</v>
      </c>
      <c r="G179">
        <v>0.1</v>
      </c>
      <c r="H179">
        <v>5</v>
      </c>
      <c r="I179" t="s">
        <v>18</v>
      </c>
      <c r="J179" t="s">
        <v>19</v>
      </c>
      <c r="K179">
        <v>10</v>
      </c>
      <c r="L179">
        <f t="shared" si="8"/>
        <v>400</v>
      </c>
      <c r="M179">
        <f t="shared" si="9"/>
        <v>5</v>
      </c>
      <c r="N179">
        <f t="shared" si="10"/>
        <v>80</v>
      </c>
      <c r="O179" s="5">
        <f t="shared" si="11"/>
        <v>315</v>
      </c>
    </row>
    <row r="180" spans="1:15" x14ac:dyDescent="0.3">
      <c r="A180" t="s">
        <v>200</v>
      </c>
      <c r="B180" s="3">
        <v>46161</v>
      </c>
      <c r="C180" t="s">
        <v>16</v>
      </c>
      <c r="D180" t="s">
        <v>24</v>
      </c>
      <c r="E180">
        <v>15</v>
      </c>
      <c r="F180">
        <v>50</v>
      </c>
      <c r="G180">
        <v>0.2</v>
      </c>
      <c r="H180">
        <v>5</v>
      </c>
      <c r="I180" t="s">
        <v>18</v>
      </c>
      <c r="J180" t="s">
        <v>19</v>
      </c>
      <c r="K180">
        <v>10</v>
      </c>
      <c r="L180">
        <f t="shared" si="8"/>
        <v>750</v>
      </c>
      <c r="M180">
        <f t="shared" si="9"/>
        <v>10</v>
      </c>
      <c r="N180">
        <f t="shared" si="10"/>
        <v>150</v>
      </c>
      <c r="O180" s="5">
        <f t="shared" si="11"/>
        <v>595</v>
      </c>
    </row>
    <row r="181" spans="1:15" x14ac:dyDescent="0.3">
      <c r="A181" t="s">
        <v>201</v>
      </c>
      <c r="B181" s="3">
        <v>46207</v>
      </c>
      <c r="C181" t="s">
        <v>16</v>
      </c>
      <c r="D181" t="s">
        <v>22</v>
      </c>
      <c r="E181">
        <v>9</v>
      </c>
      <c r="F181">
        <v>50</v>
      </c>
      <c r="G181">
        <v>0</v>
      </c>
      <c r="H181">
        <v>20</v>
      </c>
      <c r="I181" t="s">
        <v>18</v>
      </c>
      <c r="J181" t="s">
        <v>19</v>
      </c>
      <c r="K181">
        <v>10</v>
      </c>
      <c r="L181">
        <f t="shared" si="8"/>
        <v>450</v>
      </c>
      <c r="M181">
        <f t="shared" si="9"/>
        <v>0</v>
      </c>
      <c r="N181">
        <f t="shared" si="10"/>
        <v>90</v>
      </c>
      <c r="O181" s="5">
        <f t="shared" si="11"/>
        <v>340</v>
      </c>
    </row>
    <row r="182" spans="1:15" x14ac:dyDescent="0.3">
      <c r="A182" t="s">
        <v>202</v>
      </c>
      <c r="B182" s="3">
        <v>46168</v>
      </c>
      <c r="C182" t="s">
        <v>16</v>
      </c>
      <c r="D182" t="s">
        <v>24</v>
      </c>
      <c r="E182">
        <v>19</v>
      </c>
      <c r="F182">
        <v>50</v>
      </c>
      <c r="G182">
        <v>0.35</v>
      </c>
      <c r="H182">
        <v>20</v>
      </c>
      <c r="I182" t="s">
        <v>18</v>
      </c>
      <c r="J182" t="s">
        <v>19</v>
      </c>
      <c r="K182">
        <v>10</v>
      </c>
      <c r="L182">
        <f t="shared" si="8"/>
        <v>950</v>
      </c>
      <c r="M182">
        <f t="shared" si="9"/>
        <v>17.5</v>
      </c>
      <c r="N182">
        <f t="shared" si="10"/>
        <v>190</v>
      </c>
      <c r="O182" s="5">
        <f t="shared" si="11"/>
        <v>740</v>
      </c>
    </row>
    <row r="183" spans="1:15" x14ac:dyDescent="0.3">
      <c r="A183" t="s">
        <v>203</v>
      </c>
      <c r="B183" s="3">
        <v>46035</v>
      </c>
      <c r="C183" t="s">
        <v>16</v>
      </c>
      <c r="D183" t="s">
        <v>24</v>
      </c>
      <c r="E183">
        <v>8</v>
      </c>
      <c r="F183">
        <v>50</v>
      </c>
      <c r="G183">
        <v>0.2</v>
      </c>
      <c r="H183">
        <v>10</v>
      </c>
      <c r="I183" t="s">
        <v>18</v>
      </c>
      <c r="J183" t="s">
        <v>19</v>
      </c>
      <c r="K183">
        <v>10</v>
      </c>
      <c r="L183">
        <f t="shared" si="8"/>
        <v>400</v>
      </c>
      <c r="M183">
        <f t="shared" si="9"/>
        <v>10</v>
      </c>
      <c r="N183">
        <f t="shared" si="10"/>
        <v>80</v>
      </c>
      <c r="O183" s="5">
        <f t="shared" si="11"/>
        <v>310</v>
      </c>
    </row>
    <row r="184" spans="1:15" x14ac:dyDescent="0.3">
      <c r="A184" t="s">
        <v>204</v>
      </c>
      <c r="B184" s="3">
        <v>46163</v>
      </c>
      <c r="C184" t="s">
        <v>16</v>
      </c>
      <c r="D184" t="s">
        <v>22</v>
      </c>
      <c r="E184">
        <v>23</v>
      </c>
      <c r="F184">
        <v>50</v>
      </c>
      <c r="G184">
        <v>0</v>
      </c>
      <c r="H184">
        <v>20</v>
      </c>
      <c r="I184" t="s">
        <v>18</v>
      </c>
      <c r="J184" t="s">
        <v>19</v>
      </c>
      <c r="K184">
        <v>10</v>
      </c>
      <c r="L184">
        <f t="shared" si="8"/>
        <v>1150</v>
      </c>
      <c r="M184">
        <f t="shared" si="9"/>
        <v>0</v>
      </c>
      <c r="N184">
        <f t="shared" si="10"/>
        <v>230</v>
      </c>
      <c r="O184" s="5">
        <f t="shared" si="11"/>
        <v>900</v>
      </c>
    </row>
    <row r="185" spans="1:15" x14ac:dyDescent="0.3">
      <c r="A185" t="s">
        <v>205</v>
      </c>
      <c r="B185" s="3">
        <v>46032</v>
      </c>
      <c r="C185" t="s">
        <v>16</v>
      </c>
      <c r="D185" t="s">
        <v>24</v>
      </c>
      <c r="E185">
        <v>1</v>
      </c>
      <c r="F185">
        <v>50</v>
      </c>
      <c r="G185">
        <v>0.35</v>
      </c>
      <c r="H185">
        <v>10</v>
      </c>
      <c r="I185" t="s">
        <v>18</v>
      </c>
      <c r="J185" t="s">
        <v>19</v>
      </c>
      <c r="K185">
        <v>10</v>
      </c>
      <c r="L185">
        <f t="shared" si="8"/>
        <v>50</v>
      </c>
      <c r="M185">
        <f t="shared" si="9"/>
        <v>17.5</v>
      </c>
      <c r="N185">
        <f t="shared" si="10"/>
        <v>10</v>
      </c>
      <c r="O185" s="5">
        <f t="shared" si="11"/>
        <v>30</v>
      </c>
    </row>
    <row r="186" spans="1:15" x14ac:dyDescent="0.3">
      <c r="A186" t="s">
        <v>206</v>
      </c>
      <c r="B186" s="3">
        <v>46289</v>
      </c>
      <c r="C186" t="s">
        <v>16</v>
      </c>
      <c r="D186" t="s">
        <v>24</v>
      </c>
      <c r="E186">
        <v>19</v>
      </c>
      <c r="F186">
        <v>50</v>
      </c>
      <c r="G186">
        <v>0.35</v>
      </c>
      <c r="H186">
        <v>15</v>
      </c>
      <c r="I186" t="s">
        <v>18</v>
      </c>
      <c r="J186" t="s">
        <v>19</v>
      </c>
      <c r="K186">
        <v>10</v>
      </c>
      <c r="L186">
        <f t="shared" si="8"/>
        <v>950</v>
      </c>
      <c r="M186">
        <f t="shared" si="9"/>
        <v>17.5</v>
      </c>
      <c r="N186">
        <f t="shared" si="10"/>
        <v>190</v>
      </c>
      <c r="O186" s="5">
        <f t="shared" si="11"/>
        <v>745</v>
      </c>
    </row>
    <row r="187" spans="1:15" x14ac:dyDescent="0.3">
      <c r="A187" t="s">
        <v>207</v>
      </c>
      <c r="B187" s="3">
        <v>46251</v>
      </c>
      <c r="C187" t="s">
        <v>16</v>
      </c>
      <c r="D187" t="s">
        <v>34</v>
      </c>
      <c r="E187">
        <v>16</v>
      </c>
      <c r="F187">
        <v>50</v>
      </c>
      <c r="G187">
        <v>0.1</v>
      </c>
      <c r="H187">
        <v>15</v>
      </c>
      <c r="I187" t="s">
        <v>18</v>
      </c>
      <c r="J187" t="s">
        <v>19</v>
      </c>
      <c r="K187">
        <v>10</v>
      </c>
      <c r="L187">
        <f t="shared" si="8"/>
        <v>800</v>
      </c>
      <c r="M187">
        <f t="shared" si="9"/>
        <v>5</v>
      </c>
      <c r="N187">
        <f t="shared" si="10"/>
        <v>160</v>
      </c>
      <c r="O187" s="5">
        <f t="shared" si="11"/>
        <v>625</v>
      </c>
    </row>
    <row r="188" spans="1:15" x14ac:dyDescent="0.3">
      <c r="A188" t="s">
        <v>208</v>
      </c>
      <c r="B188" s="3">
        <v>46248</v>
      </c>
      <c r="C188" t="s">
        <v>16</v>
      </c>
      <c r="D188" t="s">
        <v>22</v>
      </c>
      <c r="E188">
        <v>19</v>
      </c>
      <c r="F188">
        <v>50</v>
      </c>
      <c r="G188">
        <v>0.2</v>
      </c>
      <c r="H188">
        <v>10</v>
      </c>
      <c r="I188" t="s">
        <v>18</v>
      </c>
      <c r="J188" t="s">
        <v>19</v>
      </c>
      <c r="K188">
        <v>10</v>
      </c>
      <c r="L188">
        <f t="shared" si="8"/>
        <v>950</v>
      </c>
      <c r="M188">
        <f t="shared" si="9"/>
        <v>10</v>
      </c>
      <c r="N188">
        <f t="shared" si="10"/>
        <v>190</v>
      </c>
      <c r="O188" s="5">
        <f t="shared" si="11"/>
        <v>750</v>
      </c>
    </row>
    <row r="189" spans="1:15" x14ac:dyDescent="0.3">
      <c r="A189" t="s">
        <v>209</v>
      </c>
      <c r="B189" s="3">
        <v>46159</v>
      </c>
      <c r="C189" t="s">
        <v>16</v>
      </c>
      <c r="D189" t="s">
        <v>34</v>
      </c>
      <c r="E189">
        <v>23</v>
      </c>
      <c r="F189">
        <v>50</v>
      </c>
      <c r="G189">
        <v>0.1</v>
      </c>
      <c r="H189">
        <v>5</v>
      </c>
      <c r="I189" t="s">
        <v>18</v>
      </c>
      <c r="J189" t="s">
        <v>19</v>
      </c>
      <c r="K189">
        <v>10</v>
      </c>
      <c r="L189">
        <f t="shared" si="8"/>
        <v>1150</v>
      </c>
      <c r="M189">
        <f t="shared" si="9"/>
        <v>5</v>
      </c>
      <c r="N189">
        <f t="shared" si="10"/>
        <v>230</v>
      </c>
      <c r="O189" s="5">
        <f t="shared" si="11"/>
        <v>915</v>
      </c>
    </row>
    <row r="190" spans="1:15" x14ac:dyDescent="0.3">
      <c r="A190" t="s">
        <v>210</v>
      </c>
      <c r="B190" s="3">
        <v>46343</v>
      </c>
      <c r="C190" t="s">
        <v>16</v>
      </c>
      <c r="D190" t="s">
        <v>24</v>
      </c>
      <c r="E190">
        <v>3</v>
      </c>
      <c r="F190">
        <v>50</v>
      </c>
      <c r="G190">
        <v>0.2</v>
      </c>
      <c r="H190">
        <v>5</v>
      </c>
      <c r="I190" t="s">
        <v>18</v>
      </c>
      <c r="J190" t="s">
        <v>19</v>
      </c>
      <c r="K190">
        <v>10</v>
      </c>
      <c r="L190">
        <f t="shared" si="8"/>
        <v>150</v>
      </c>
      <c r="M190">
        <f t="shared" si="9"/>
        <v>10</v>
      </c>
      <c r="N190">
        <f t="shared" si="10"/>
        <v>30</v>
      </c>
      <c r="O190" s="5">
        <f t="shared" si="11"/>
        <v>115</v>
      </c>
    </row>
    <row r="191" spans="1:15" x14ac:dyDescent="0.3">
      <c r="A191" t="s">
        <v>211</v>
      </c>
      <c r="B191" s="3">
        <v>46194</v>
      </c>
      <c r="C191" t="s">
        <v>16</v>
      </c>
      <c r="D191" t="s">
        <v>22</v>
      </c>
      <c r="E191">
        <v>8</v>
      </c>
      <c r="F191">
        <v>50</v>
      </c>
      <c r="G191">
        <v>0</v>
      </c>
      <c r="H191">
        <v>10</v>
      </c>
      <c r="I191" t="s">
        <v>18</v>
      </c>
      <c r="J191" t="s">
        <v>19</v>
      </c>
      <c r="K191">
        <v>10</v>
      </c>
      <c r="L191">
        <f t="shared" si="8"/>
        <v>400</v>
      </c>
      <c r="M191">
        <f t="shared" si="9"/>
        <v>0</v>
      </c>
      <c r="N191">
        <f t="shared" si="10"/>
        <v>80</v>
      </c>
      <c r="O191" s="5">
        <f t="shared" si="11"/>
        <v>310</v>
      </c>
    </row>
    <row r="192" spans="1:15" x14ac:dyDescent="0.3">
      <c r="A192" t="s">
        <v>212</v>
      </c>
      <c r="B192" s="3">
        <v>46308</v>
      </c>
      <c r="C192" t="s">
        <v>16</v>
      </c>
      <c r="D192" t="s">
        <v>34</v>
      </c>
      <c r="E192">
        <v>11</v>
      </c>
      <c r="F192">
        <v>50</v>
      </c>
      <c r="G192">
        <v>0.1</v>
      </c>
      <c r="H192">
        <v>10</v>
      </c>
      <c r="I192" t="s">
        <v>18</v>
      </c>
      <c r="J192" t="s">
        <v>19</v>
      </c>
      <c r="K192">
        <v>10</v>
      </c>
      <c r="L192">
        <f t="shared" si="8"/>
        <v>550</v>
      </c>
      <c r="M192">
        <f t="shared" si="9"/>
        <v>5</v>
      </c>
      <c r="N192">
        <f t="shared" si="10"/>
        <v>110</v>
      </c>
      <c r="O192" s="5">
        <f t="shared" si="11"/>
        <v>430</v>
      </c>
    </row>
    <row r="193" spans="1:15" x14ac:dyDescent="0.3">
      <c r="A193" t="s">
        <v>213</v>
      </c>
      <c r="B193" s="3">
        <v>46315</v>
      </c>
      <c r="C193" t="s">
        <v>16</v>
      </c>
      <c r="D193" t="s">
        <v>17</v>
      </c>
      <c r="E193">
        <v>25</v>
      </c>
      <c r="F193">
        <v>50</v>
      </c>
      <c r="G193">
        <v>0</v>
      </c>
      <c r="H193">
        <v>15</v>
      </c>
      <c r="I193" t="s">
        <v>18</v>
      </c>
      <c r="J193" t="s">
        <v>19</v>
      </c>
      <c r="K193">
        <v>10</v>
      </c>
      <c r="L193">
        <f t="shared" si="8"/>
        <v>1250</v>
      </c>
      <c r="M193">
        <f t="shared" si="9"/>
        <v>0</v>
      </c>
      <c r="N193">
        <f t="shared" si="10"/>
        <v>250</v>
      </c>
      <c r="O193" s="5">
        <f t="shared" si="11"/>
        <v>985</v>
      </c>
    </row>
    <row r="194" spans="1:15" x14ac:dyDescent="0.3">
      <c r="A194" t="s">
        <v>214</v>
      </c>
      <c r="B194" s="3">
        <v>46037</v>
      </c>
      <c r="C194" t="s">
        <v>16</v>
      </c>
      <c r="D194" t="s">
        <v>17</v>
      </c>
      <c r="E194">
        <v>2</v>
      </c>
      <c r="F194">
        <v>50</v>
      </c>
      <c r="G194">
        <v>0.2</v>
      </c>
      <c r="H194">
        <v>5</v>
      </c>
      <c r="I194" t="s">
        <v>18</v>
      </c>
      <c r="J194" t="s">
        <v>19</v>
      </c>
      <c r="K194">
        <v>10</v>
      </c>
      <c r="L194">
        <f t="shared" ref="L194:L257" si="12">E194*F194</f>
        <v>100</v>
      </c>
      <c r="M194">
        <f t="shared" ref="M194:M257" si="13">F194*G194</f>
        <v>10</v>
      </c>
      <c r="N194">
        <f t="shared" ref="N194:N257" si="14">E194*K194</f>
        <v>20</v>
      </c>
      <c r="O194" s="5">
        <f t="shared" ref="O194:O257" si="15">L194-H194-N194</f>
        <v>75</v>
      </c>
    </row>
    <row r="195" spans="1:15" x14ac:dyDescent="0.3">
      <c r="A195" t="s">
        <v>215</v>
      </c>
      <c r="B195" s="3">
        <v>46083</v>
      </c>
      <c r="C195" t="s">
        <v>16</v>
      </c>
      <c r="D195" t="s">
        <v>34</v>
      </c>
      <c r="E195">
        <v>24</v>
      </c>
      <c r="F195">
        <v>50</v>
      </c>
      <c r="G195">
        <v>0</v>
      </c>
      <c r="H195">
        <v>10</v>
      </c>
      <c r="I195" t="s">
        <v>18</v>
      </c>
      <c r="J195" t="s">
        <v>19</v>
      </c>
      <c r="K195">
        <v>10</v>
      </c>
      <c r="L195">
        <f t="shared" si="12"/>
        <v>1200</v>
      </c>
      <c r="M195">
        <f t="shared" si="13"/>
        <v>0</v>
      </c>
      <c r="N195">
        <f t="shared" si="14"/>
        <v>240</v>
      </c>
      <c r="O195" s="5">
        <f t="shared" si="15"/>
        <v>950</v>
      </c>
    </row>
    <row r="196" spans="1:15" x14ac:dyDescent="0.3">
      <c r="A196" t="s">
        <v>216</v>
      </c>
      <c r="B196" s="3">
        <v>46046</v>
      </c>
      <c r="C196" t="s">
        <v>16</v>
      </c>
      <c r="D196" t="s">
        <v>34</v>
      </c>
      <c r="E196">
        <v>12</v>
      </c>
      <c r="F196">
        <v>50</v>
      </c>
      <c r="G196">
        <v>0.35</v>
      </c>
      <c r="H196">
        <v>15</v>
      </c>
      <c r="I196" t="s">
        <v>18</v>
      </c>
      <c r="J196" t="s">
        <v>19</v>
      </c>
      <c r="K196">
        <v>10</v>
      </c>
      <c r="L196">
        <f t="shared" si="12"/>
        <v>600</v>
      </c>
      <c r="M196">
        <f t="shared" si="13"/>
        <v>17.5</v>
      </c>
      <c r="N196">
        <f t="shared" si="14"/>
        <v>120</v>
      </c>
      <c r="O196" s="5">
        <f t="shared" si="15"/>
        <v>465</v>
      </c>
    </row>
    <row r="197" spans="1:15" x14ac:dyDescent="0.3">
      <c r="A197" t="s">
        <v>217</v>
      </c>
      <c r="B197" s="3">
        <v>46244</v>
      </c>
      <c r="C197" t="s">
        <v>16</v>
      </c>
      <c r="D197" t="s">
        <v>34</v>
      </c>
      <c r="E197">
        <v>19</v>
      </c>
      <c r="F197">
        <v>50</v>
      </c>
      <c r="G197">
        <v>0.1</v>
      </c>
      <c r="H197">
        <v>20</v>
      </c>
      <c r="I197" t="s">
        <v>18</v>
      </c>
      <c r="J197" t="s">
        <v>19</v>
      </c>
      <c r="K197">
        <v>10</v>
      </c>
      <c r="L197">
        <f t="shared" si="12"/>
        <v>950</v>
      </c>
      <c r="M197">
        <f t="shared" si="13"/>
        <v>5</v>
      </c>
      <c r="N197">
        <f t="shared" si="14"/>
        <v>190</v>
      </c>
      <c r="O197" s="5">
        <f t="shared" si="15"/>
        <v>740</v>
      </c>
    </row>
    <row r="198" spans="1:15" x14ac:dyDescent="0.3">
      <c r="A198" t="s">
        <v>218</v>
      </c>
      <c r="B198" s="3">
        <v>46042</v>
      </c>
      <c r="C198" t="s">
        <v>16</v>
      </c>
      <c r="D198" t="s">
        <v>34</v>
      </c>
      <c r="E198">
        <v>9</v>
      </c>
      <c r="F198">
        <v>50</v>
      </c>
      <c r="G198">
        <v>0.35</v>
      </c>
      <c r="H198">
        <v>10</v>
      </c>
      <c r="I198" t="s">
        <v>18</v>
      </c>
      <c r="J198" t="s">
        <v>19</v>
      </c>
      <c r="K198">
        <v>10</v>
      </c>
      <c r="L198">
        <f t="shared" si="12"/>
        <v>450</v>
      </c>
      <c r="M198">
        <f t="shared" si="13"/>
        <v>17.5</v>
      </c>
      <c r="N198">
        <f t="shared" si="14"/>
        <v>90</v>
      </c>
      <c r="O198" s="5">
        <f t="shared" si="15"/>
        <v>350</v>
      </c>
    </row>
    <row r="199" spans="1:15" x14ac:dyDescent="0.3">
      <c r="A199" t="s">
        <v>219</v>
      </c>
      <c r="B199" s="3">
        <v>46083</v>
      </c>
      <c r="C199" t="s">
        <v>16</v>
      </c>
      <c r="D199" t="s">
        <v>22</v>
      </c>
      <c r="E199">
        <v>23</v>
      </c>
      <c r="F199">
        <v>50</v>
      </c>
      <c r="G199">
        <v>0.2</v>
      </c>
      <c r="H199">
        <v>20</v>
      </c>
      <c r="I199" t="s">
        <v>18</v>
      </c>
      <c r="J199" t="s">
        <v>19</v>
      </c>
      <c r="K199">
        <v>10</v>
      </c>
      <c r="L199">
        <f t="shared" si="12"/>
        <v>1150</v>
      </c>
      <c r="M199">
        <f t="shared" si="13"/>
        <v>10</v>
      </c>
      <c r="N199">
        <f t="shared" si="14"/>
        <v>230</v>
      </c>
      <c r="O199" s="5">
        <f t="shared" si="15"/>
        <v>900</v>
      </c>
    </row>
    <row r="200" spans="1:15" x14ac:dyDescent="0.3">
      <c r="A200" t="s">
        <v>220</v>
      </c>
      <c r="B200" s="3">
        <v>46302</v>
      </c>
      <c r="C200" t="s">
        <v>16</v>
      </c>
      <c r="D200" t="s">
        <v>34</v>
      </c>
      <c r="E200">
        <v>17</v>
      </c>
      <c r="F200">
        <v>50</v>
      </c>
      <c r="G200">
        <v>0.1</v>
      </c>
      <c r="H200">
        <v>10</v>
      </c>
      <c r="I200" t="s">
        <v>18</v>
      </c>
      <c r="J200" t="s">
        <v>19</v>
      </c>
      <c r="K200">
        <v>10</v>
      </c>
      <c r="L200">
        <f t="shared" si="12"/>
        <v>850</v>
      </c>
      <c r="M200">
        <f t="shared" si="13"/>
        <v>5</v>
      </c>
      <c r="N200">
        <f t="shared" si="14"/>
        <v>170</v>
      </c>
      <c r="O200" s="5">
        <f t="shared" si="15"/>
        <v>670</v>
      </c>
    </row>
    <row r="201" spans="1:15" x14ac:dyDescent="0.3">
      <c r="A201" t="s">
        <v>221</v>
      </c>
      <c r="B201" s="3">
        <v>46159</v>
      </c>
      <c r="C201" t="s">
        <v>16</v>
      </c>
      <c r="D201" t="s">
        <v>34</v>
      </c>
      <c r="E201">
        <v>2</v>
      </c>
      <c r="F201">
        <v>50</v>
      </c>
      <c r="G201">
        <v>0.35</v>
      </c>
      <c r="H201">
        <v>20</v>
      </c>
      <c r="I201" t="s">
        <v>18</v>
      </c>
      <c r="J201" t="s">
        <v>19</v>
      </c>
      <c r="K201">
        <v>10</v>
      </c>
      <c r="L201">
        <f t="shared" si="12"/>
        <v>100</v>
      </c>
      <c r="M201">
        <f t="shared" si="13"/>
        <v>17.5</v>
      </c>
      <c r="N201">
        <f t="shared" si="14"/>
        <v>20</v>
      </c>
      <c r="O201" s="5">
        <f t="shared" si="15"/>
        <v>60</v>
      </c>
    </row>
    <row r="202" spans="1:15" x14ac:dyDescent="0.3">
      <c r="A202" t="s">
        <v>222</v>
      </c>
      <c r="B202" s="3">
        <v>46175</v>
      </c>
      <c r="C202" t="s">
        <v>16</v>
      </c>
      <c r="D202" t="s">
        <v>24</v>
      </c>
      <c r="E202">
        <v>13</v>
      </c>
      <c r="F202">
        <v>50</v>
      </c>
      <c r="G202">
        <v>0.35</v>
      </c>
      <c r="H202">
        <v>5</v>
      </c>
      <c r="I202" t="s">
        <v>18</v>
      </c>
      <c r="J202" t="s">
        <v>19</v>
      </c>
      <c r="K202">
        <v>10</v>
      </c>
      <c r="L202">
        <f t="shared" si="12"/>
        <v>650</v>
      </c>
      <c r="M202">
        <f t="shared" si="13"/>
        <v>17.5</v>
      </c>
      <c r="N202">
        <f t="shared" si="14"/>
        <v>130</v>
      </c>
      <c r="O202" s="5">
        <f t="shared" si="15"/>
        <v>515</v>
      </c>
    </row>
    <row r="203" spans="1:15" x14ac:dyDescent="0.3">
      <c r="A203" t="s">
        <v>223</v>
      </c>
      <c r="B203" s="3">
        <v>46200</v>
      </c>
      <c r="C203" t="s">
        <v>16</v>
      </c>
      <c r="D203" t="s">
        <v>34</v>
      </c>
      <c r="E203">
        <v>5</v>
      </c>
      <c r="F203">
        <v>50</v>
      </c>
      <c r="G203">
        <v>0.2</v>
      </c>
      <c r="H203">
        <v>5</v>
      </c>
      <c r="I203" t="s">
        <v>18</v>
      </c>
      <c r="J203" t="s">
        <v>19</v>
      </c>
      <c r="K203">
        <v>10</v>
      </c>
      <c r="L203">
        <f t="shared" si="12"/>
        <v>250</v>
      </c>
      <c r="M203">
        <f t="shared" si="13"/>
        <v>10</v>
      </c>
      <c r="N203">
        <f t="shared" si="14"/>
        <v>50</v>
      </c>
      <c r="O203" s="5">
        <f t="shared" si="15"/>
        <v>195</v>
      </c>
    </row>
    <row r="204" spans="1:15" x14ac:dyDescent="0.3">
      <c r="A204" t="s">
        <v>224</v>
      </c>
      <c r="B204" s="3">
        <v>46216</v>
      </c>
      <c r="C204" t="s">
        <v>16</v>
      </c>
      <c r="D204" t="s">
        <v>17</v>
      </c>
      <c r="E204">
        <v>16</v>
      </c>
      <c r="F204">
        <v>50</v>
      </c>
      <c r="G204">
        <v>0.35</v>
      </c>
      <c r="H204">
        <v>15</v>
      </c>
      <c r="I204" t="s">
        <v>18</v>
      </c>
      <c r="J204" t="s">
        <v>19</v>
      </c>
      <c r="K204">
        <v>10</v>
      </c>
      <c r="L204">
        <f t="shared" si="12"/>
        <v>800</v>
      </c>
      <c r="M204">
        <f t="shared" si="13"/>
        <v>17.5</v>
      </c>
      <c r="N204">
        <f t="shared" si="14"/>
        <v>160</v>
      </c>
      <c r="O204" s="5">
        <f t="shared" si="15"/>
        <v>625</v>
      </c>
    </row>
    <row r="205" spans="1:15" x14ac:dyDescent="0.3">
      <c r="A205" t="s">
        <v>225</v>
      </c>
      <c r="B205" s="3">
        <v>46358</v>
      </c>
      <c r="C205" t="s">
        <v>16</v>
      </c>
      <c r="D205" t="s">
        <v>24</v>
      </c>
      <c r="E205">
        <v>4</v>
      </c>
      <c r="F205">
        <v>50</v>
      </c>
      <c r="G205">
        <v>0.2</v>
      </c>
      <c r="H205">
        <v>5</v>
      </c>
      <c r="I205" t="s">
        <v>18</v>
      </c>
      <c r="J205" t="s">
        <v>19</v>
      </c>
      <c r="K205">
        <v>10</v>
      </c>
      <c r="L205">
        <f t="shared" si="12"/>
        <v>200</v>
      </c>
      <c r="M205">
        <f t="shared" si="13"/>
        <v>10</v>
      </c>
      <c r="N205">
        <f t="shared" si="14"/>
        <v>40</v>
      </c>
      <c r="O205" s="5">
        <f t="shared" si="15"/>
        <v>155</v>
      </c>
    </row>
    <row r="206" spans="1:15" x14ac:dyDescent="0.3">
      <c r="A206" t="s">
        <v>226</v>
      </c>
      <c r="B206" s="3">
        <v>46305</v>
      </c>
      <c r="C206" t="s">
        <v>16</v>
      </c>
      <c r="D206" t="s">
        <v>22</v>
      </c>
      <c r="E206">
        <v>18</v>
      </c>
      <c r="F206">
        <v>50</v>
      </c>
      <c r="G206">
        <v>0.1</v>
      </c>
      <c r="H206">
        <v>10</v>
      </c>
      <c r="I206" t="s">
        <v>18</v>
      </c>
      <c r="J206" t="s">
        <v>19</v>
      </c>
      <c r="K206">
        <v>10</v>
      </c>
      <c r="L206">
        <f t="shared" si="12"/>
        <v>900</v>
      </c>
      <c r="M206">
        <f t="shared" si="13"/>
        <v>5</v>
      </c>
      <c r="N206">
        <f t="shared" si="14"/>
        <v>180</v>
      </c>
      <c r="O206" s="5">
        <f t="shared" si="15"/>
        <v>710</v>
      </c>
    </row>
    <row r="207" spans="1:15" x14ac:dyDescent="0.3">
      <c r="A207" t="s">
        <v>227</v>
      </c>
      <c r="B207" s="3">
        <v>46067</v>
      </c>
      <c r="C207" t="s">
        <v>16</v>
      </c>
      <c r="D207" t="s">
        <v>34</v>
      </c>
      <c r="E207">
        <v>11</v>
      </c>
      <c r="F207">
        <v>50</v>
      </c>
      <c r="G207">
        <v>0.1</v>
      </c>
      <c r="H207">
        <v>5</v>
      </c>
      <c r="I207" t="s">
        <v>18</v>
      </c>
      <c r="J207" t="s">
        <v>19</v>
      </c>
      <c r="K207">
        <v>10</v>
      </c>
      <c r="L207">
        <f t="shared" si="12"/>
        <v>550</v>
      </c>
      <c r="M207">
        <f t="shared" si="13"/>
        <v>5</v>
      </c>
      <c r="N207">
        <f t="shared" si="14"/>
        <v>110</v>
      </c>
      <c r="O207" s="5">
        <f t="shared" si="15"/>
        <v>435</v>
      </c>
    </row>
    <row r="208" spans="1:15" x14ac:dyDescent="0.3">
      <c r="A208" t="s">
        <v>228</v>
      </c>
      <c r="B208" s="3">
        <v>46114</v>
      </c>
      <c r="C208" t="s">
        <v>229</v>
      </c>
      <c r="D208" t="s">
        <v>24</v>
      </c>
      <c r="E208">
        <v>25</v>
      </c>
      <c r="F208">
        <v>50</v>
      </c>
      <c r="G208">
        <v>0.1</v>
      </c>
      <c r="H208">
        <v>5</v>
      </c>
      <c r="I208" t="s">
        <v>230</v>
      </c>
      <c r="J208" t="s">
        <v>19</v>
      </c>
      <c r="K208">
        <v>40</v>
      </c>
      <c r="L208">
        <f t="shared" si="12"/>
        <v>1250</v>
      </c>
      <c r="M208">
        <f t="shared" si="13"/>
        <v>5</v>
      </c>
      <c r="N208">
        <f t="shared" si="14"/>
        <v>1000</v>
      </c>
      <c r="O208" s="5">
        <f t="shared" si="15"/>
        <v>245</v>
      </c>
    </row>
    <row r="209" spans="1:15" x14ac:dyDescent="0.3">
      <c r="A209" t="s">
        <v>231</v>
      </c>
      <c r="B209" s="3">
        <v>46115</v>
      </c>
      <c r="C209" t="s">
        <v>229</v>
      </c>
      <c r="D209" t="s">
        <v>22</v>
      </c>
      <c r="E209">
        <v>13</v>
      </c>
      <c r="F209">
        <v>50</v>
      </c>
      <c r="G209">
        <v>0.35</v>
      </c>
      <c r="H209">
        <v>10</v>
      </c>
      <c r="I209" t="s">
        <v>230</v>
      </c>
      <c r="J209" t="s">
        <v>19</v>
      </c>
      <c r="K209">
        <v>40</v>
      </c>
      <c r="L209">
        <f t="shared" si="12"/>
        <v>650</v>
      </c>
      <c r="M209">
        <f t="shared" si="13"/>
        <v>17.5</v>
      </c>
      <c r="N209">
        <f t="shared" si="14"/>
        <v>520</v>
      </c>
      <c r="O209" s="5">
        <f t="shared" si="15"/>
        <v>120</v>
      </c>
    </row>
    <row r="210" spans="1:15" x14ac:dyDescent="0.3">
      <c r="A210" t="s">
        <v>232</v>
      </c>
      <c r="B210" s="3">
        <v>46328</v>
      </c>
      <c r="C210" t="s">
        <v>229</v>
      </c>
      <c r="D210" t="s">
        <v>24</v>
      </c>
      <c r="E210">
        <v>20</v>
      </c>
      <c r="F210">
        <v>50</v>
      </c>
      <c r="G210">
        <v>0.1</v>
      </c>
      <c r="H210">
        <v>5</v>
      </c>
      <c r="I210" t="s">
        <v>230</v>
      </c>
      <c r="J210" t="s">
        <v>19</v>
      </c>
      <c r="K210">
        <v>40</v>
      </c>
      <c r="L210">
        <f t="shared" si="12"/>
        <v>1000</v>
      </c>
      <c r="M210">
        <f t="shared" si="13"/>
        <v>5</v>
      </c>
      <c r="N210">
        <f t="shared" si="14"/>
        <v>800</v>
      </c>
      <c r="O210" s="5">
        <f t="shared" si="15"/>
        <v>195</v>
      </c>
    </row>
    <row r="211" spans="1:15" x14ac:dyDescent="0.3">
      <c r="A211" t="s">
        <v>233</v>
      </c>
      <c r="B211" s="3">
        <v>46181</v>
      </c>
      <c r="C211" t="s">
        <v>229</v>
      </c>
      <c r="D211" t="s">
        <v>34</v>
      </c>
      <c r="E211">
        <v>10</v>
      </c>
      <c r="F211">
        <v>50</v>
      </c>
      <c r="G211">
        <v>0.1</v>
      </c>
      <c r="H211">
        <v>15</v>
      </c>
      <c r="I211" t="s">
        <v>230</v>
      </c>
      <c r="J211" t="s">
        <v>19</v>
      </c>
      <c r="K211">
        <v>40</v>
      </c>
      <c r="L211">
        <f t="shared" si="12"/>
        <v>500</v>
      </c>
      <c r="M211">
        <f t="shared" si="13"/>
        <v>5</v>
      </c>
      <c r="N211">
        <f t="shared" si="14"/>
        <v>400</v>
      </c>
      <c r="O211" s="5">
        <f t="shared" si="15"/>
        <v>85</v>
      </c>
    </row>
    <row r="212" spans="1:15" x14ac:dyDescent="0.3">
      <c r="A212" t="s">
        <v>234</v>
      </c>
      <c r="B212" s="3">
        <v>46049</v>
      </c>
      <c r="C212" t="s">
        <v>229</v>
      </c>
      <c r="D212" t="s">
        <v>22</v>
      </c>
      <c r="E212">
        <v>3</v>
      </c>
      <c r="F212">
        <v>50</v>
      </c>
      <c r="G212">
        <v>0.35</v>
      </c>
      <c r="H212">
        <v>10</v>
      </c>
      <c r="I212" t="s">
        <v>230</v>
      </c>
      <c r="J212" t="s">
        <v>19</v>
      </c>
      <c r="K212">
        <v>40</v>
      </c>
      <c r="L212">
        <f t="shared" si="12"/>
        <v>150</v>
      </c>
      <c r="M212">
        <f t="shared" si="13"/>
        <v>17.5</v>
      </c>
      <c r="N212">
        <f t="shared" si="14"/>
        <v>120</v>
      </c>
      <c r="O212" s="5">
        <f t="shared" si="15"/>
        <v>20</v>
      </c>
    </row>
    <row r="213" spans="1:15" x14ac:dyDescent="0.3">
      <c r="A213" t="s">
        <v>235</v>
      </c>
      <c r="B213" s="3">
        <v>46186</v>
      </c>
      <c r="C213" t="s">
        <v>229</v>
      </c>
      <c r="D213" t="s">
        <v>17</v>
      </c>
      <c r="E213">
        <v>20</v>
      </c>
      <c r="F213">
        <v>50</v>
      </c>
      <c r="G213">
        <v>0</v>
      </c>
      <c r="H213">
        <v>15</v>
      </c>
      <c r="I213" t="s">
        <v>230</v>
      </c>
      <c r="J213" t="s">
        <v>19</v>
      </c>
      <c r="K213">
        <v>40</v>
      </c>
      <c r="L213">
        <f t="shared" si="12"/>
        <v>1000</v>
      </c>
      <c r="M213">
        <f t="shared" si="13"/>
        <v>0</v>
      </c>
      <c r="N213">
        <f t="shared" si="14"/>
        <v>800</v>
      </c>
      <c r="O213" s="5">
        <f t="shared" si="15"/>
        <v>185</v>
      </c>
    </row>
    <row r="214" spans="1:15" x14ac:dyDescent="0.3">
      <c r="A214" t="s">
        <v>236</v>
      </c>
      <c r="B214" s="3">
        <v>46074</v>
      </c>
      <c r="C214" t="s">
        <v>229</v>
      </c>
      <c r="D214" t="s">
        <v>34</v>
      </c>
      <c r="E214">
        <v>2</v>
      </c>
      <c r="F214">
        <v>50</v>
      </c>
      <c r="G214">
        <v>0.35</v>
      </c>
      <c r="H214">
        <v>20</v>
      </c>
      <c r="I214" t="s">
        <v>230</v>
      </c>
      <c r="J214" t="s">
        <v>19</v>
      </c>
      <c r="K214">
        <v>40</v>
      </c>
      <c r="L214">
        <f t="shared" si="12"/>
        <v>100</v>
      </c>
      <c r="M214">
        <f t="shared" si="13"/>
        <v>17.5</v>
      </c>
      <c r="N214">
        <f t="shared" si="14"/>
        <v>80</v>
      </c>
      <c r="O214" s="5">
        <f t="shared" si="15"/>
        <v>0</v>
      </c>
    </row>
    <row r="215" spans="1:15" x14ac:dyDescent="0.3">
      <c r="A215" t="s">
        <v>237</v>
      </c>
      <c r="B215" s="3">
        <v>46179</v>
      </c>
      <c r="C215" t="s">
        <v>229</v>
      </c>
      <c r="D215" t="s">
        <v>24</v>
      </c>
      <c r="E215">
        <v>2</v>
      </c>
      <c r="F215">
        <v>50</v>
      </c>
      <c r="G215">
        <v>0</v>
      </c>
      <c r="H215">
        <v>20</v>
      </c>
      <c r="I215" t="s">
        <v>230</v>
      </c>
      <c r="J215" t="s">
        <v>19</v>
      </c>
      <c r="K215">
        <v>40</v>
      </c>
      <c r="L215">
        <f t="shared" si="12"/>
        <v>100</v>
      </c>
      <c r="M215">
        <f t="shared" si="13"/>
        <v>0</v>
      </c>
      <c r="N215">
        <f t="shared" si="14"/>
        <v>80</v>
      </c>
      <c r="O215" s="5">
        <f t="shared" si="15"/>
        <v>0</v>
      </c>
    </row>
    <row r="216" spans="1:15" x14ac:dyDescent="0.3">
      <c r="A216" t="s">
        <v>238</v>
      </c>
      <c r="B216" s="3">
        <v>46173</v>
      </c>
      <c r="C216" t="s">
        <v>229</v>
      </c>
      <c r="D216" t="s">
        <v>24</v>
      </c>
      <c r="E216">
        <v>19</v>
      </c>
      <c r="F216">
        <v>50</v>
      </c>
      <c r="G216">
        <v>0</v>
      </c>
      <c r="H216">
        <v>20</v>
      </c>
      <c r="I216" t="s">
        <v>230</v>
      </c>
      <c r="J216" t="s">
        <v>19</v>
      </c>
      <c r="K216">
        <v>40</v>
      </c>
      <c r="L216">
        <f t="shared" si="12"/>
        <v>950</v>
      </c>
      <c r="M216">
        <f t="shared" si="13"/>
        <v>0</v>
      </c>
      <c r="N216">
        <f t="shared" si="14"/>
        <v>760</v>
      </c>
      <c r="O216" s="5">
        <f t="shared" si="15"/>
        <v>170</v>
      </c>
    </row>
    <row r="217" spans="1:15" x14ac:dyDescent="0.3">
      <c r="A217" t="s">
        <v>239</v>
      </c>
      <c r="B217" s="3">
        <v>46315</v>
      </c>
      <c r="C217" t="s">
        <v>229</v>
      </c>
      <c r="D217" t="s">
        <v>17</v>
      </c>
      <c r="E217">
        <v>5</v>
      </c>
      <c r="F217">
        <v>50</v>
      </c>
      <c r="G217">
        <v>0</v>
      </c>
      <c r="H217">
        <v>15</v>
      </c>
      <c r="I217" t="s">
        <v>230</v>
      </c>
      <c r="J217" t="s">
        <v>19</v>
      </c>
      <c r="K217">
        <v>40</v>
      </c>
      <c r="L217">
        <f t="shared" si="12"/>
        <v>250</v>
      </c>
      <c r="M217">
        <f t="shared" si="13"/>
        <v>0</v>
      </c>
      <c r="N217">
        <f t="shared" si="14"/>
        <v>200</v>
      </c>
      <c r="O217" s="5">
        <f t="shared" si="15"/>
        <v>35</v>
      </c>
    </row>
    <row r="218" spans="1:15" x14ac:dyDescent="0.3">
      <c r="A218" t="s">
        <v>240</v>
      </c>
      <c r="B218" s="3">
        <v>46158</v>
      </c>
      <c r="C218" t="s">
        <v>229</v>
      </c>
      <c r="D218" t="s">
        <v>24</v>
      </c>
      <c r="E218">
        <v>5</v>
      </c>
      <c r="F218">
        <v>50</v>
      </c>
      <c r="G218">
        <v>0.1</v>
      </c>
      <c r="H218">
        <v>15</v>
      </c>
      <c r="I218" t="s">
        <v>230</v>
      </c>
      <c r="J218" t="s">
        <v>19</v>
      </c>
      <c r="K218">
        <v>40</v>
      </c>
      <c r="L218">
        <f t="shared" si="12"/>
        <v>250</v>
      </c>
      <c r="M218">
        <f t="shared" si="13"/>
        <v>5</v>
      </c>
      <c r="N218">
        <f t="shared" si="14"/>
        <v>200</v>
      </c>
      <c r="O218" s="5">
        <f t="shared" si="15"/>
        <v>35</v>
      </c>
    </row>
    <row r="219" spans="1:15" x14ac:dyDescent="0.3">
      <c r="A219" t="s">
        <v>241</v>
      </c>
      <c r="B219" s="3">
        <v>46230</v>
      </c>
      <c r="C219" t="s">
        <v>229</v>
      </c>
      <c r="D219" t="s">
        <v>34</v>
      </c>
      <c r="E219">
        <v>6</v>
      </c>
      <c r="F219">
        <v>50</v>
      </c>
      <c r="G219">
        <v>0.1</v>
      </c>
      <c r="H219">
        <v>5</v>
      </c>
      <c r="I219" t="s">
        <v>230</v>
      </c>
      <c r="J219" t="s">
        <v>19</v>
      </c>
      <c r="K219">
        <v>40</v>
      </c>
      <c r="L219">
        <f t="shared" si="12"/>
        <v>300</v>
      </c>
      <c r="M219">
        <f t="shared" si="13"/>
        <v>5</v>
      </c>
      <c r="N219">
        <f t="shared" si="14"/>
        <v>240</v>
      </c>
      <c r="O219" s="5">
        <f t="shared" si="15"/>
        <v>55</v>
      </c>
    </row>
    <row r="220" spans="1:15" x14ac:dyDescent="0.3">
      <c r="A220" t="s">
        <v>242</v>
      </c>
      <c r="B220" s="3">
        <v>46036</v>
      </c>
      <c r="C220" t="s">
        <v>229</v>
      </c>
      <c r="D220" t="s">
        <v>17</v>
      </c>
      <c r="E220">
        <v>25</v>
      </c>
      <c r="F220">
        <v>50</v>
      </c>
      <c r="G220">
        <v>0.35</v>
      </c>
      <c r="H220">
        <v>20</v>
      </c>
      <c r="I220" t="s">
        <v>230</v>
      </c>
      <c r="J220" t="s">
        <v>19</v>
      </c>
      <c r="K220">
        <v>40</v>
      </c>
      <c r="L220">
        <f t="shared" si="12"/>
        <v>1250</v>
      </c>
      <c r="M220">
        <f t="shared" si="13"/>
        <v>17.5</v>
      </c>
      <c r="N220">
        <f t="shared" si="14"/>
        <v>1000</v>
      </c>
      <c r="O220" s="5">
        <f t="shared" si="15"/>
        <v>230</v>
      </c>
    </row>
    <row r="221" spans="1:15" x14ac:dyDescent="0.3">
      <c r="A221" t="s">
        <v>243</v>
      </c>
      <c r="B221" s="3">
        <v>46312</v>
      </c>
      <c r="C221" t="s">
        <v>229</v>
      </c>
      <c r="D221" t="s">
        <v>17</v>
      </c>
      <c r="E221">
        <v>10</v>
      </c>
      <c r="F221">
        <v>50</v>
      </c>
      <c r="G221">
        <v>0.1</v>
      </c>
      <c r="H221">
        <v>15</v>
      </c>
      <c r="I221" t="s">
        <v>230</v>
      </c>
      <c r="J221" t="s">
        <v>19</v>
      </c>
      <c r="K221">
        <v>40</v>
      </c>
      <c r="L221">
        <f t="shared" si="12"/>
        <v>500</v>
      </c>
      <c r="M221">
        <f t="shared" si="13"/>
        <v>5</v>
      </c>
      <c r="N221">
        <f t="shared" si="14"/>
        <v>400</v>
      </c>
      <c r="O221" s="5">
        <f t="shared" si="15"/>
        <v>85</v>
      </c>
    </row>
    <row r="222" spans="1:15" x14ac:dyDescent="0.3">
      <c r="A222" t="s">
        <v>244</v>
      </c>
      <c r="B222" s="3">
        <v>46353</v>
      </c>
      <c r="C222" t="s">
        <v>229</v>
      </c>
      <c r="D222" t="s">
        <v>22</v>
      </c>
      <c r="E222">
        <v>7</v>
      </c>
      <c r="F222">
        <v>50</v>
      </c>
      <c r="G222">
        <v>0.2</v>
      </c>
      <c r="H222">
        <v>15</v>
      </c>
      <c r="I222" t="s">
        <v>230</v>
      </c>
      <c r="J222" t="s">
        <v>19</v>
      </c>
      <c r="K222">
        <v>40</v>
      </c>
      <c r="L222">
        <f t="shared" si="12"/>
        <v>350</v>
      </c>
      <c r="M222">
        <f t="shared" si="13"/>
        <v>10</v>
      </c>
      <c r="N222">
        <f t="shared" si="14"/>
        <v>280</v>
      </c>
      <c r="O222" s="5">
        <f t="shared" si="15"/>
        <v>55</v>
      </c>
    </row>
    <row r="223" spans="1:15" x14ac:dyDescent="0.3">
      <c r="A223" t="s">
        <v>245</v>
      </c>
      <c r="B223" s="3">
        <v>46053</v>
      </c>
      <c r="C223" t="s">
        <v>229</v>
      </c>
      <c r="D223" t="s">
        <v>24</v>
      </c>
      <c r="E223">
        <v>6</v>
      </c>
      <c r="F223">
        <v>50</v>
      </c>
      <c r="G223">
        <v>0.2</v>
      </c>
      <c r="H223">
        <v>15</v>
      </c>
      <c r="I223" t="s">
        <v>230</v>
      </c>
      <c r="J223" t="s">
        <v>19</v>
      </c>
      <c r="K223">
        <v>40</v>
      </c>
      <c r="L223">
        <f t="shared" si="12"/>
        <v>300</v>
      </c>
      <c r="M223">
        <f t="shared" si="13"/>
        <v>10</v>
      </c>
      <c r="N223">
        <f t="shared" si="14"/>
        <v>240</v>
      </c>
      <c r="O223" s="5">
        <f t="shared" si="15"/>
        <v>45</v>
      </c>
    </row>
    <row r="224" spans="1:15" x14ac:dyDescent="0.3">
      <c r="A224" t="s">
        <v>246</v>
      </c>
      <c r="B224" s="3">
        <v>46121</v>
      </c>
      <c r="C224" t="s">
        <v>229</v>
      </c>
      <c r="D224" t="s">
        <v>34</v>
      </c>
      <c r="E224">
        <v>10</v>
      </c>
      <c r="F224">
        <v>50</v>
      </c>
      <c r="G224">
        <v>0.2</v>
      </c>
      <c r="H224">
        <v>20</v>
      </c>
      <c r="I224" t="s">
        <v>230</v>
      </c>
      <c r="J224" t="s">
        <v>19</v>
      </c>
      <c r="K224">
        <v>40</v>
      </c>
      <c r="L224">
        <f t="shared" si="12"/>
        <v>500</v>
      </c>
      <c r="M224">
        <f t="shared" si="13"/>
        <v>10</v>
      </c>
      <c r="N224">
        <f t="shared" si="14"/>
        <v>400</v>
      </c>
      <c r="O224" s="5">
        <f t="shared" si="15"/>
        <v>80</v>
      </c>
    </row>
    <row r="225" spans="1:15" x14ac:dyDescent="0.3">
      <c r="A225" t="s">
        <v>247</v>
      </c>
      <c r="B225" s="3">
        <v>46294</v>
      </c>
      <c r="C225" t="s">
        <v>229</v>
      </c>
      <c r="D225" t="s">
        <v>34</v>
      </c>
      <c r="E225">
        <v>15</v>
      </c>
      <c r="F225">
        <v>50</v>
      </c>
      <c r="G225">
        <v>0.1</v>
      </c>
      <c r="H225">
        <v>10</v>
      </c>
      <c r="I225" t="s">
        <v>230</v>
      </c>
      <c r="J225" t="s">
        <v>19</v>
      </c>
      <c r="K225">
        <v>40</v>
      </c>
      <c r="L225">
        <f t="shared" si="12"/>
        <v>750</v>
      </c>
      <c r="M225">
        <f t="shared" si="13"/>
        <v>5</v>
      </c>
      <c r="N225">
        <f t="shared" si="14"/>
        <v>600</v>
      </c>
      <c r="O225" s="5">
        <f t="shared" si="15"/>
        <v>140</v>
      </c>
    </row>
    <row r="226" spans="1:15" x14ac:dyDescent="0.3">
      <c r="A226" t="s">
        <v>248</v>
      </c>
      <c r="B226" s="3">
        <v>46047</v>
      </c>
      <c r="C226" t="s">
        <v>229</v>
      </c>
      <c r="D226" t="s">
        <v>17</v>
      </c>
      <c r="E226">
        <v>12</v>
      </c>
      <c r="F226">
        <v>50</v>
      </c>
      <c r="G226">
        <v>0.35</v>
      </c>
      <c r="H226">
        <v>20</v>
      </c>
      <c r="I226" t="s">
        <v>230</v>
      </c>
      <c r="J226" t="s">
        <v>19</v>
      </c>
      <c r="K226">
        <v>40</v>
      </c>
      <c r="L226">
        <f t="shared" si="12"/>
        <v>600</v>
      </c>
      <c r="M226">
        <f t="shared" si="13"/>
        <v>17.5</v>
      </c>
      <c r="N226">
        <f t="shared" si="14"/>
        <v>480</v>
      </c>
      <c r="O226" s="5">
        <f t="shared" si="15"/>
        <v>100</v>
      </c>
    </row>
    <row r="227" spans="1:15" x14ac:dyDescent="0.3">
      <c r="A227" t="s">
        <v>249</v>
      </c>
      <c r="B227" s="3">
        <v>46269</v>
      </c>
      <c r="C227" t="s">
        <v>229</v>
      </c>
      <c r="D227" t="s">
        <v>34</v>
      </c>
      <c r="E227">
        <v>15</v>
      </c>
      <c r="F227">
        <v>50</v>
      </c>
      <c r="G227">
        <v>0.2</v>
      </c>
      <c r="H227">
        <v>20</v>
      </c>
      <c r="I227" t="s">
        <v>230</v>
      </c>
      <c r="J227" t="s">
        <v>19</v>
      </c>
      <c r="K227">
        <v>40</v>
      </c>
      <c r="L227">
        <f t="shared" si="12"/>
        <v>750</v>
      </c>
      <c r="M227">
        <f t="shared" si="13"/>
        <v>10</v>
      </c>
      <c r="N227">
        <f t="shared" si="14"/>
        <v>600</v>
      </c>
      <c r="O227" s="5">
        <f t="shared" si="15"/>
        <v>130</v>
      </c>
    </row>
    <row r="228" spans="1:15" x14ac:dyDescent="0.3">
      <c r="A228" t="s">
        <v>250</v>
      </c>
      <c r="B228" s="3">
        <v>46086</v>
      </c>
      <c r="C228" t="s">
        <v>229</v>
      </c>
      <c r="D228" t="s">
        <v>22</v>
      </c>
      <c r="E228">
        <v>14</v>
      </c>
      <c r="F228">
        <v>50</v>
      </c>
      <c r="G228">
        <v>0.1</v>
      </c>
      <c r="H228">
        <v>5</v>
      </c>
      <c r="I228" t="s">
        <v>230</v>
      </c>
      <c r="J228" t="s">
        <v>19</v>
      </c>
      <c r="K228">
        <v>40</v>
      </c>
      <c r="L228">
        <f t="shared" si="12"/>
        <v>700</v>
      </c>
      <c r="M228">
        <f t="shared" si="13"/>
        <v>5</v>
      </c>
      <c r="N228">
        <f t="shared" si="14"/>
        <v>560</v>
      </c>
      <c r="O228" s="5">
        <f t="shared" si="15"/>
        <v>135</v>
      </c>
    </row>
    <row r="229" spans="1:15" x14ac:dyDescent="0.3">
      <c r="A229" t="s">
        <v>251</v>
      </c>
      <c r="B229" s="3">
        <v>46041</v>
      </c>
      <c r="C229" t="s">
        <v>229</v>
      </c>
      <c r="D229" t="s">
        <v>22</v>
      </c>
      <c r="E229">
        <v>4</v>
      </c>
      <c r="F229">
        <v>50</v>
      </c>
      <c r="G229">
        <v>0.35</v>
      </c>
      <c r="H229">
        <v>10</v>
      </c>
      <c r="I229" t="s">
        <v>230</v>
      </c>
      <c r="J229" t="s">
        <v>19</v>
      </c>
      <c r="K229">
        <v>40</v>
      </c>
      <c r="L229">
        <f t="shared" si="12"/>
        <v>200</v>
      </c>
      <c r="M229">
        <f t="shared" si="13"/>
        <v>17.5</v>
      </c>
      <c r="N229">
        <f t="shared" si="14"/>
        <v>160</v>
      </c>
      <c r="O229" s="5">
        <f t="shared" si="15"/>
        <v>30</v>
      </c>
    </row>
    <row r="230" spans="1:15" x14ac:dyDescent="0.3">
      <c r="A230" t="s">
        <v>252</v>
      </c>
      <c r="B230" s="3">
        <v>46341</v>
      </c>
      <c r="C230" t="s">
        <v>229</v>
      </c>
      <c r="D230" t="s">
        <v>17</v>
      </c>
      <c r="E230">
        <v>13</v>
      </c>
      <c r="F230">
        <v>50</v>
      </c>
      <c r="G230">
        <v>0</v>
      </c>
      <c r="H230">
        <v>5</v>
      </c>
      <c r="I230" t="s">
        <v>230</v>
      </c>
      <c r="J230" t="s">
        <v>19</v>
      </c>
      <c r="K230">
        <v>40</v>
      </c>
      <c r="L230">
        <f t="shared" si="12"/>
        <v>650</v>
      </c>
      <c r="M230">
        <f t="shared" si="13"/>
        <v>0</v>
      </c>
      <c r="N230">
        <f t="shared" si="14"/>
        <v>520</v>
      </c>
      <c r="O230" s="5">
        <f t="shared" si="15"/>
        <v>125</v>
      </c>
    </row>
    <row r="231" spans="1:15" x14ac:dyDescent="0.3">
      <c r="A231" t="s">
        <v>253</v>
      </c>
      <c r="B231" s="3">
        <v>46224</v>
      </c>
      <c r="C231" t="s">
        <v>229</v>
      </c>
      <c r="D231" t="s">
        <v>17</v>
      </c>
      <c r="E231">
        <v>13</v>
      </c>
      <c r="F231">
        <v>50</v>
      </c>
      <c r="G231">
        <v>0</v>
      </c>
      <c r="H231">
        <v>15</v>
      </c>
      <c r="I231" t="s">
        <v>230</v>
      </c>
      <c r="J231" t="s">
        <v>19</v>
      </c>
      <c r="K231">
        <v>40</v>
      </c>
      <c r="L231">
        <f t="shared" si="12"/>
        <v>650</v>
      </c>
      <c r="M231">
        <f t="shared" si="13"/>
        <v>0</v>
      </c>
      <c r="N231">
        <f t="shared" si="14"/>
        <v>520</v>
      </c>
      <c r="O231" s="5">
        <f t="shared" si="15"/>
        <v>115</v>
      </c>
    </row>
    <row r="232" spans="1:15" x14ac:dyDescent="0.3">
      <c r="A232" t="s">
        <v>254</v>
      </c>
      <c r="B232" s="3">
        <v>46205</v>
      </c>
      <c r="C232" t="s">
        <v>229</v>
      </c>
      <c r="D232" t="s">
        <v>24</v>
      </c>
      <c r="E232">
        <v>10</v>
      </c>
      <c r="F232">
        <v>50</v>
      </c>
      <c r="G232">
        <v>0.2</v>
      </c>
      <c r="H232">
        <v>10</v>
      </c>
      <c r="I232" t="s">
        <v>230</v>
      </c>
      <c r="J232" t="s">
        <v>19</v>
      </c>
      <c r="K232">
        <v>40</v>
      </c>
      <c r="L232">
        <f t="shared" si="12"/>
        <v>500</v>
      </c>
      <c r="M232">
        <f t="shared" si="13"/>
        <v>10</v>
      </c>
      <c r="N232">
        <f t="shared" si="14"/>
        <v>400</v>
      </c>
      <c r="O232" s="5">
        <f t="shared" si="15"/>
        <v>90</v>
      </c>
    </row>
    <row r="233" spans="1:15" x14ac:dyDescent="0.3">
      <c r="A233" t="s">
        <v>255</v>
      </c>
      <c r="B233" s="3">
        <v>46155</v>
      </c>
      <c r="C233" t="s">
        <v>229</v>
      </c>
      <c r="D233" t="s">
        <v>22</v>
      </c>
      <c r="E233">
        <v>20</v>
      </c>
      <c r="F233">
        <v>50</v>
      </c>
      <c r="G233">
        <v>0.1</v>
      </c>
      <c r="H233">
        <v>15</v>
      </c>
      <c r="I233" t="s">
        <v>230</v>
      </c>
      <c r="J233" t="s">
        <v>19</v>
      </c>
      <c r="K233">
        <v>40</v>
      </c>
      <c r="L233">
        <f t="shared" si="12"/>
        <v>1000</v>
      </c>
      <c r="M233">
        <f t="shared" si="13"/>
        <v>5</v>
      </c>
      <c r="N233">
        <f t="shared" si="14"/>
        <v>800</v>
      </c>
      <c r="O233" s="5">
        <f t="shared" si="15"/>
        <v>185</v>
      </c>
    </row>
    <row r="234" spans="1:15" x14ac:dyDescent="0.3">
      <c r="A234" t="s">
        <v>256</v>
      </c>
      <c r="B234" s="3">
        <v>46114</v>
      </c>
      <c r="C234" t="s">
        <v>229</v>
      </c>
      <c r="D234" t="s">
        <v>24</v>
      </c>
      <c r="E234">
        <v>24</v>
      </c>
      <c r="F234">
        <v>50</v>
      </c>
      <c r="G234">
        <v>0</v>
      </c>
      <c r="H234">
        <v>15</v>
      </c>
      <c r="I234" t="s">
        <v>230</v>
      </c>
      <c r="J234" t="s">
        <v>19</v>
      </c>
      <c r="K234">
        <v>40</v>
      </c>
      <c r="L234">
        <f t="shared" si="12"/>
        <v>1200</v>
      </c>
      <c r="M234">
        <f t="shared" si="13"/>
        <v>0</v>
      </c>
      <c r="N234">
        <f t="shared" si="14"/>
        <v>960</v>
      </c>
      <c r="O234" s="5">
        <f t="shared" si="15"/>
        <v>225</v>
      </c>
    </row>
    <row r="235" spans="1:15" x14ac:dyDescent="0.3">
      <c r="A235" t="s">
        <v>257</v>
      </c>
      <c r="B235" s="3">
        <v>46271</v>
      </c>
      <c r="C235" t="s">
        <v>229</v>
      </c>
      <c r="D235" t="s">
        <v>22</v>
      </c>
      <c r="E235">
        <v>5</v>
      </c>
      <c r="F235">
        <v>50</v>
      </c>
      <c r="G235">
        <v>0.2</v>
      </c>
      <c r="H235">
        <v>20</v>
      </c>
      <c r="I235" t="s">
        <v>230</v>
      </c>
      <c r="J235" t="s">
        <v>19</v>
      </c>
      <c r="K235">
        <v>40</v>
      </c>
      <c r="L235">
        <f t="shared" si="12"/>
        <v>250</v>
      </c>
      <c r="M235">
        <f t="shared" si="13"/>
        <v>10</v>
      </c>
      <c r="N235">
        <f t="shared" si="14"/>
        <v>200</v>
      </c>
      <c r="O235" s="5">
        <f t="shared" si="15"/>
        <v>30</v>
      </c>
    </row>
    <row r="236" spans="1:15" x14ac:dyDescent="0.3">
      <c r="A236" t="s">
        <v>258</v>
      </c>
      <c r="B236" s="3">
        <v>46164</v>
      </c>
      <c r="C236" t="s">
        <v>229</v>
      </c>
      <c r="D236" t="s">
        <v>24</v>
      </c>
      <c r="E236">
        <v>18</v>
      </c>
      <c r="F236">
        <v>50</v>
      </c>
      <c r="G236">
        <v>0.2</v>
      </c>
      <c r="H236">
        <v>10</v>
      </c>
      <c r="I236" t="s">
        <v>230</v>
      </c>
      <c r="J236" t="s">
        <v>19</v>
      </c>
      <c r="K236">
        <v>40</v>
      </c>
      <c r="L236">
        <f t="shared" si="12"/>
        <v>900</v>
      </c>
      <c r="M236">
        <f t="shared" si="13"/>
        <v>10</v>
      </c>
      <c r="N236">
        <f t="shared" si="14"/>
        <v>720</v>
      </c>
      <c r="O236" s="5">
        <f t="shared" si="15"/>
        <v>170</v>
      </c>
    </row>
    <row r="237" spans="1:15" x14ac:dyDescent="0.3">
      <c r="A237" t="s">
        <v>259</v>
      </c>
      <c r="B237" s="3">
        <v>46336</v>
      </c>
      <c r="C237" t="s">
        <v>229</v>
      </c>
      <c r="D237" t="s">
        <v>17</v>
      </c>
      <c r="E237">
        <v>9</v>
      </c>
      <c r="F237">
        <v>50</v>
      </c>
      <c r="G237">
        <v>0.2</v>
      </c>
      <c r="H237">
        <v>20</v>
      </c>
      <c r="I237" t="s">
        <v>230</v>
      </c>
      <c r="J237" t="s">
        <v>19</v>
      </c>
      <c r="K237">
        <v>40</v>
      </c>
      <c r="L237">
        <f t="shared" si="12"/>
        <v>450</v>
      </c>
      <c r="M237">
        <f t="shared" si="13"/>
        <v>10</v>
      </c>
      <c r="N237">
        <f t="shared" si="14"/>
        <v>360</v>
      </c>
      <c r="O237" s="5">
        <f t="shared" si="15"/>
        <v>70</v>
      </c>
    </row>
    <row r="238" spans="1:15" x14ac:dyDescent="0.3">
      <c r="A238" t="s">
        <v>260</v>
      </c>
      <c r="B238" s="3">
        <v>46340</v>
      </c>
      <c r="C238" t="s">
        <v>229</v>
      </c>
      <c r="D238" t="s">
        <v>17</v>
      </c>
      <c r="E238">
        <v>4</v>
      </c>
      <c r="F238">
        <v>50</v>
      </c>
      <c r="G238">
        <v>0.1</v>
      </c>
      <c r="H238">
        <v>20</v>
      </c>
      <c r="I238" t="s">
        <v>230</v>
      </c>
      <c r="J238" t="s">
        <v>19</v>
      </c>
      <c r="K238">
        <v>40</v>
      </c>
      <c r="L238">
        <f t="shared" si="12"/>
        <v>200</v>
      </c>
      <c r="M238">
        <f t="shared" si="13"/>
        <v>5</v>
      </c>
      <c r="N238">
        <f t="shared" si="14"/>
        <v>160</v>
      </c>
      <c r="O238" s="5">
        <f t="shared" si="15"/>
        <v>20</v>
      </c>
    </row>
    <row r="239" spans="1:15" x14ac:dyDescent="0.3">
      <c r="A239" t="s">
        <v>261</v>
      </c>
      <c r="B239" s="3">
        <v>46184</v>
      </c>
      <c r="C239" t="s">
        <v>229</v>
      </c>
      <c r="D239" t="s">
        <v>17</v>
      </c>
      <c r="E239">
        <v>11</v>
      </c>
      <c r="F239">
        <v>50</v>
      </c>
      <c r="G239">
        <v>0.1</v>
      </c>
      <c r="H239">
        <v>10</v>
      </c>
      <c r="I239" t="s">
        <v>230</v>
      </c>
      <c r="J239" t="s">
        <v>19</v>
      </c>
      <c r="K239">
        <v>40</v>
      </c>
      <c r="L239">
        <f t="shared" si="12"/>
        <v>550</v>
      </c>
      <c r="M239">
        <f t="shared" si="13"/>
        <v>5</v>
      </c>
      <c r="N239">
        <f t="shared" si="14"/>
        <v>440</v>
      </c>
      <c r="O239" s="5">
        <f t="shared" si="15"/>
        <v>100</v>
      </c>
    </row>
    <row r="240" spans="1:15" x14ac:dyDescent="0.3">
      <c r="A240" t="s">
        <v>262</v>
      </c>
      <c r="B240" s="3">
        <v>46260</v>
      </c>
      <c r="C240" t="s">
        <v>229</v>
      </c>
      <c r="D240" t="s">
        <v>22</v>
      </c>
      <c r="E240">
        <v>23</v>
      </c>
      <c r="F240">
        <v>50</v>
      </c>
      <c r="G240">
        <v>0.1</v>
      </c>
      <c r="H240">
        <v>20</v>
      </c>
      <c r="I240" t="s">
        <v>230</v>
      </c>
      <c r="J240" t="s">
        <v>19</v>
      </c>
      <c r="K240">
        <v>40</v>
      </c>
      <c r="L240">
        <f t="shared" si="12"/>
        <v>1150</v>
      </c>
      <c r="M240">
        <f t="shared" si="13"/>
        <v>5</v>
      </c>
      <c r="N240">
        <f t="shared" si="14"/>
        <v>920</v>
      </c>
      <c r="O240" s="5">
        <f t="shared" si="15"/>
        <v>210</v>
      </c>
    </row>
    <row r="241" spans="1:15" x14ac:dyDescent="0.3">
      <c r="A241" t="s">
        <v>263</v>
      </c>
      <c r="B241" s="3">
        <v>46045</v>
      </c>
      <c r="C241" t="s">
        <v>229</v>
      </c>
      <c r="D241" t="s">
        <v>17</v>
      </c>
      <c r="E241">
        <v>19</v>
      </c>
      <c r="F241">
        <v>50</v>
      </c>
      <c r="G241">
        <v>0.2</v>
      </c>
      <c r="H241">
        <v>5</v>
      </c>
      <c r="I241" t="s">
        <v>230</v>
      </c>
      <c r="J241" t="s">
        <v>19</v>
      </c>
      <c r="K241">
        <v>40</v>
      </c>
      <c r="L241">
        <f t="shared" si="12"/>
        <v>950</v>
      </c>
      <c r="M241">
        <f t="shared" si="13"/>
        <v>10</v>
      </c>
      <c r="N241">
        <f t="shared" si="14"/>
        <v>760</v>
      </c>
      <c r="O241" s="5">
        <f t="shared" si="15"/>
        <v>185</v>
      </c>
    </row>
    <row r="242" spans="1:15" x14ac:dyDescent="0.3">
      <c r="A242" t="s">
        <v>264</v>
      </c>
      <c r="B242" s="3">
        <v>46159</v>
      </c>
      <c r="C242" t="s">
        <v>229</v>
      </c>
      <c r="D242" t="s">
        <v>24</v>
      </c>
      <c r="E242">
        <v>20</v>
      </c>
      <c r="F242">
        <v>50</v>
      </c>
      <c r="G242">
        <v>0.35</v>
      </c>
      <c r="H242">
        <v>10</v>
      </c>
      <c r="I242" t="s">
        <v>230</v>
      </c>
      <c r="J242" t="s">
        <v>19</v>
      </c>
      <c r="K242">
        <v>40</v>
      </c>
      <c r="L242">
        <f t="shared" si="12"/>
        <v>1000</v>
      </c>
      <c r="M242">
        <f t="shared" si="13"/>
        <v>17.5</v>
      </c>
      <c r="N242">
        <f t="shared" si="14"/>
        <v>800</v>
      </c>
      <c r="O242" s="5">
        <f t="shared" si="15"/>
        <v>190</v>
      </c>
    </row>
    <row r="243" spans="1:15" x14ac:dyDescent="0.3">
      <c r="A243" t="s">
        <v>265</v>
      </c>
      <c r="B243" s="3">
        <v>46031</v>
      </c>
      <c r="C243" t="s">
        <v>229</v>
      </c>
      <c r="D243" t="s">
        <v>17</v>
      </c>
      <c r="E243">
        <v>14</v>
      </c>
      <c r="F243">
        <v>50</v>
      </c>
      <c r="G243">
        <v>0.2</v>
      </c>
      <c r="H243">
        <v>5</v>
      </c>
      <c r="I243" t="s">
        <v>230</v>
      </c>
      <c r="J243" t="s">
        <v>19</v>
      </c>
      <c r="K243">
        <v>40</v>
      </c>
      <c r="L243">
        <f t="shared" si="12"/>
        <v>700</v>
      </c>
      <c r="M243">
        <f t="shared" si="13"/>
        <v>10</v>
      </c>
      <c r="N243">
        <f t="shared" si="14"/>
        <v>560</v>
      </c>
      <c r="O243" s="5">
        <f t="shared" si="15"/>
        <v>135</v>
      </c>
    </row>
    <row r="244" spans="1:15" x14ac:dyDescent="0.3">
      <c r="A244" t="s">
        <v>266</v>
      </c>
      <c r="B244" s="3">
        <v>46340</v>
      </c>
      <c r="C244" t="s">
        <v>229</v>
      </c>
      <c r="D244" t="s">
        <v>34</v>
      </c>
      <c r="E244">
        <v>11</v>
      </c>
      <c r="F244">
        <v>50</v>
      </c>
      <c r="G244">
        <v>0.35</v>
      </c>
      <c r="H244">
        <v>20</v>
      </c>
      <c r="I244" t="s">
        <v>230</v>
      </c>
      <c r="J244" t="s">
        <v>19</v>
      </c>
      <c r="K244">
        <v>40</v>
      </c>
      <c r="L244">
        <f t="shared" si="12"/>
        <v>550</v>
      </c>
      <c r="M244">
        <f t="shared" si="13"/>
        <v>17.5</v>
      </c>
      <c r="N244">
        <f t="shared" si="14"/>
        <v>440</v>
      </c>
      <c r="O244" s="5">
        <f t="shared" si="15"/>
        <v>90</v>
      </c>
    </row>
    <row r="245" spans="1:15" x14ac:dyDescent="0.3">
      <c r="A245" t="s">
        <v>267</v>
      </c>
      <c r="B245" s="3">
        <v>46190</v>
      </c>
      <c r="C245" t="s">
        <v>229</v>
      </c>
      <c r="D245" t="s">
        <v>22</v>
      </c>
      <c r="E245">
        <v>21</v>
      </c>
      <c r="F245">
        <v>50</v>
      </c>
      <c r="G245">
        <v>0.2</v>
      </c>
      <c r="H245">
        <v>20</v>
      </c>
      <c r="I245" t="s">
        <v>230</v>
      </c>
      <c r="J245" t="s">
        <v>19</v>
      </c>
      <c r="K245">
        <v>40</v>
      </c>
      <c r="L245">
        <f t="shared" si="12"/>
        <v>1050</v>
      </c>
      <c r="M245">
        <f t="shared" si="13"/>
        <v>10</v>
      </c>
      <c r="N245">
        <f t="shared" si="14"/>
        <v>840</v>
      </c>
      <c r="O245" s="5">
        <f t="shared" si="15"/>
        <v>190</v>
      </c>
    </row>
    <row r="246" spans="1:15" x14ac:dyDescent="0.3">
      <c r="A246" t="s">
        <v>268</v>
      </c>
      <c r="B246" s="3">
        <v>46268</v>
      </c>
      <c r="C246" t="s">
        <v>229</v>
      </c>
      <c r="D246" t="s">
        <v>34</v>
      </c>
      <c r="E246">
        <v>12</v>
      </c>
      <c r="F246">
        <v>50</v>
      </c>
      <c r="G246">
        <v>0.1</v>
      </c>
      <c r="H246">
        <v>20</v>
      </c>
      <c r="I246" t="s">
        <v>230</v>
      </c>
      <c r="J246" t="s">
        <v>19</v>
      </c>
      <c r="K246">
        <v>40</v>
      </c>
      <c r="L246">
        <f t="shared" si="12"/>
        <v>600</v>
      </c>
      <c r="M246">
        <f t="shared" si="13"/>
        <v>5</v>
      </c>
      <c r="N246">
        <f t="shared" si="14"/>
        <v>480</v>
      </c>
      <c r="O246" s="5">
        <f t="shared" si="15"/>
        <v>100</v>
      </c>
    </row>
    <row r="247" spans="1:15" x14ac:dyDescent="0.3">
      <c r="A247" t="s">
        <v>269</v>
      </c>
      <c r="B247" s="3">
        <v>46324</v>
      </c>
      <c r="C247" t="s">
        <v>229</v>
      </c>
      <c r="D247" t="s">
        <v>24</v>
      </c>
      <c r="E247">
        <v>20</v>
      </c>
      <c r="F247">
        <v>50</v>
      </c>
      <c r="G247">
        <v>0.2</v>
      </c>
      <c r="H247">
        <v>15</v>
      </c>
      <c r="I247" t="s">
        <v>230</v>
      </c>
      <c r="J247" t="s">
        <v>19</v>
      </c>
      <c r="K247">
        <v>40</v>
      </c>
      <c r="L247">
        <f t="shared" si="12"/>
        <v>1000</v>
      </c>
      <c r="M247">
        <f t="shared" si="13"/>
        <v>10</v>
      </c>
      <c r="N247">
        <f t="shared" si="14"/>
        <v>800</v>
      </c>
      <c r="O247" s="5">
        <f t="shared" si="15"/>
        <v>185</v>
      </c>
    </row>
    <row r="248" spans="1:15" x14ac:dyDescent="0.3">
      <c r="A248" t="s">
        <v>270</v>
      </c>
      <c r="B248" s="3">
        <v>46381</v>
      </c>
      <c r="C248" t="s">
        <v>229</v>
      </c>
      <c r="D248" t="s">
        <v>24</v>
      </c>
      <c r="E248">
        <v>14</v>
      </c>
      <c r="F248">
        <v>50</v>
      </c>
      <c r="G248">
        <v>0</v>
      </c>
      <c r="H248">
        <v>5</v>
      </c>
      <c r="I248" t="s">
        <v>230</v>
      </c>
      <c r="J248" t="s">
        <v>19</v>
      </c>
      <c r="K248">
        <v>40</v>
      </c>
      <c r="L248">
        <f t="shared" si="12"/>
        <v>700</v>
      </c>
      <c r="M248">
        <f t="shared" si="13"/>
        <v>0</v>
      </c>
      <c r="N248">
        <f t="shared" si="14"/>
        <v>560</v>
      </c>
      <c r="O248" s="5">
        <f t="shared" si="15"/>
        <v>135</v>
      </c>
    </row>
    <row r="249" spans="1:15" x14ac:dyDescent="0.3">
      <c r="A249" t="s">
        <v>271</v>
      </c>
      <c r="B249" s="3">
        <v>46088</v>
      </c>
      <c r="C249" t="s">
        <v>229</v>
      </c>
      <c r="D249" t="s">
        <v>17</v>
      </c>
      <c r="E249">
        <v>7</v>
      </c>
      <c r="F249">
        <v>50</v>
      </c>
      <c r="G249">
        <v>0.2</v>
      </c>
      <c r="H249">
        <v>15</v>
      </c>
      <c r="I249" t="s">
        <v>230</v>
      </c>
      <c r="J249" t="s">
        <v>19</v>
      </c>
      <c r="K249">
        <v>40</v>
      </c>
      <c r="L249">
        <f t="shared" si="12"/>
        <v>350</v>
      </c>
      <c r="M249">
        <f t="shared" si="13"/>
        <v>10</v>
      </c>
      <c r="N249">
        <f t="shared" si="14"/>
        <v>280</v>
      </c>
      <c r="O249" s="5">
        <f t="shared" si="15"/>
        <v>55</v>
      </c>
    </row>
    <row r="250" spans="1:15" x14ac:dyDescent="0.3">
      <c r="A250" t="s">
        <v>272</v>
      </c>
      <c r="B250" s="3">
        <v>46088</v>
      </c>
      <c r="C250" t="s">
        <v>229</v>
      </c>
      <c r="D250" t="s">
        <v>22</v>
      </c>
      <c r="E250">
        <v>16</v>
      </c>
      <c r="F250">
        <v>50</v>
      </c>
      <c r="G250">
        <v>0.1</v>
      </c>
      <c r="H250">
        <v>20</v>
      </c>
      <c r="I250" t="s">
        <v>230</v>
      </c>
      <c r="J250" t="s">
        <v>19</v>
      </c>
      <c r="K250">
        <v>40</v>
      </c>
      <c r="L250">
        <f t="shared" si="12"/>
        <v>800</v>
      </c>
      <c r="M250">
        <f t="shared" si="13"/>
        <v>5</v>
      </c>
      <c r="N250">
        <f t="shared" si="14"/>
        <v>640</v>
      </c>
      <c r="O250" s="5">
        <f t="shared" si="15"/>
        <v>140</v>
      </c>
    </row>
    <row r="251" spans="1:15" x14ac:dyDescent="0.3">
      <c r="A251" t="s">
        <v>273</v>
      </c>
      <c r="B251" s="3">
        <v>46095</v>
      </c>
      <c r="C251" t="s">
        <v>229</v>
      </c>
      <c r="D251" t="s">
        <v>17</v>
      </c>
      <c r="E251">
        <v>25</v>
      </c>
      <c r="F251">
        <v>50</v>
      </c>
      <c r="G251">
        <v>0.2</v>
      </c>
      <c r="H251">
        <v>5</v>
      </c>
      <c r="I251" t="s">
        <v>230</v>
      </c>
      <c r="J251" t="s">
        <v>19</v>
      </c>
      <c r="K251">
        <v>40</v>
      </c>
      <c r="L251">
        <f t="shared" si="12"/>
        <v>1250</v>
      </c>
      <c r="M251">
        <f t="shared" si="13"/>
        <v>10</v>
      </c>
      <c r="N251">
        <f t="shared" si="14"/>
        <v>1000</v>
      </c>
      <c r="O251" s="5">
        <f t="shared" si="15"/>
        <v>245</v>
      </c>
    </row>
    <row r="252" spans="1:15" x14ac:dyDescent="0.3">
      <c r="A252" t="s">
        <v>274</v>
      </c>
      <c r="B252" s="3">
        <v>46069</v>
      </c>
      <c r="C252" t="s">
        <v>229</v>
      </c>
      <c r="D252" t="s">
        <v>22</v>
      </c>
      <c r="E252">
        <v>16</v>
      </c>
      <c r="F252">
        <v>50</v>
      </c>
      <c r="G252">
        <v>0</v>
      </c>
      <c r="H252">
        <v>20</v>
      </c>
      <c r="I252" t="s">
        <v>230</v>
      </c>
      <c r="J252" t="s">
        <v>19</v>
      </c>
      <c r="K252">
        <v>40</v>
      </c>
      <c r="L252">
        <f t="shared" si="12"/>
        <v>800</v>
      </c>
      <c r="M252">
        <f t="shared" si="13"/>
        <v>0</v>
      </c>
      <c r="N252">
        <f t="shared" si="14"/>
        <v>640</v>
      </c>
      <c r="O252" s="5">
        <f t="shared" si="15"/>
        <v>140</v>
      </c>
    </row>
    <row r="253" spans="1:15" x14ac:dyDescent="0.3">
      <c r="A253" t="s">
        <v>275</v>
      </c>
      <c r="B253" s="3">
        <v>46157</v>
      </c>
      <c r="C253" t="s">
        <v>229</v>
      </c>
      <c r="D253" t="s">
        <v>22</v>
      </c>
      <c r="E253">
        <v>4</v>
      </c>
      <c r="F253">
        <v>50</v>
      </c>
      <c r="G253">
        <v>0</v>
      </c>
      <c r="H253">
        <v>15</v>
      </c>
      <c r="I253" t="s">
        <v>230</v>
      </c>
      <c r="J253" t="s">
        <v>19</v>
      </c>
      <c r="K253">
        <v>40</v>
      </c>
      <c r="L253">
        <f t="shared" si="12"/>
        <v>200</v>
      </c>
      <c r="M253">
        <f t="shared" si="13"/>
        <v>0</v>
      </c>
      <c r="N253">
        <f t="shared" si="14"/>
        <v>160</v>
      </c>
      <c r="O253" s="5">
        <f t="shared" si="15"/>
        <v>25</v>
      </c>
    </row>
    <row r="254" spans="1:15" x14ac:dyDescent="0.3">
      <c r="A254" t="s">
        <v>276</v>
      </c>
      <c r="B254" s="3">
        <v>46246</v>
      </c>
      <c r="C254" t="s">
        <v>229</v>
      </c>
      <c r="D254" t="s">
        <v>34</v>
      </c>
      <c r="E254">
        <v>25</v>
      </c>
      <c r="F254">
        <v>50</v>
      </c>
      <c r="G254">
        <v>0.1</v>
      </c>
      <c r="H254">
        <v>5</v>
      </c>
      <c r="I254" t="s">
        <v>230</v>
      </c>
      <c r="J254" t="s">
        <v>19</v>
      </c>
      <c r="K254">
        <v>40</v>
      </c>
      <c r="L254">
        <f t="shared" si="12"/>
        <v>1250</v>
      </c>
      <c r="M254">
        <f t="shared" si="13"/>
        <v>5</v>
      </c>
      <c r="N254">
        <f t="shared" si="14"/>
        <v>1000</v>
      </c>
      <c r="O254" s="5">
        <f t="shared" si="15"/>
        <v>245</v>
      </c>
    </row>
    <row r="255" spans="1:15" x14ac:dyDescent="0.3">
      <c r="A255" t="s">
        <v>277</v>
      </c>
      <c r="B255" s="3">
        <v>46314</v>
      </c>
      <c r="C255" t="s">
        <v>229</v>
      </c>
      <c r="D255" t="s">
        <v>17</v>
      </c>
      <c r="E255">
        <v>7</v>
      </c>
      <c r="F255">
        <v>50</v>
      </c>
      <c r="G255">
        <v>0.2</v>
      </c>
      <c r="H255">
        <v>10</v>
      </c>
      <c r="I255" t="s">
        <v>230</v>
      </c>
      <c r="J255" t="s">
        <v>19</v>
      </c>
      <c r="K255">
        <v>40</v>
      </c>
      <c r="L255">
        <f t="shared" si="12"/>
        <v>350</v>
      </c>
      <c r="M255">
        <f t="shared" si="13"/>
        <v>10</v>
      </c>
      <c r="N255">
        <f t="shared" si="14"/>
        <v>280</v>
      </c>
      <c r="O255" s="5">
        <f t="shared" si="15"/>
        <v>60</v>
      </c>
    </row>
    <row r="256" spans="1:15" x14ac:dyDescent="0.3">
      <c r="A256" t="s">
        <v>278</v>
      </c>
      <c r="B256" s="3">
        <v>46035</v>
      </c>
      <c r="C256" t="s">
        <v>229</v>
      </c>
      <c r="D256" t="s">
        <v>24</v>
      </c>
      <c r="E256">
        <v>8</v>
      </c>
      <c r="F256">
        <v>50</v>
      </c>
      <c r="G256">
        <v>0</v>
      </c>
      <c r="H256">
        <v>10</v>
      </c>
      <c r="I256" t="s">
        <v>230</v>
      </c>
      <c r="J256" t="s">
        <v>19</v>
      </c>
      <c r="K256">
        <v>40</v>
      </c>
      <c r="L256">
        <f t="shared" si="12"/>
        <v>400</v>
      </c>
      <c r="M256">
        <f t="shared" si="13"/>
        <v>0</v>
      </c>
      <c r="N256">
        <f t="shared" si="14"/>
        <v>320</v>
      </c>
      <c r="O256" s="5">
        <f t="shared" si="15"/>
        <v>70</v>
      </c>
    </row>
    <row r="257" spans="1:15" x14ac:dyDescent="0.3">
      <c r="A257" t="s">
        <v>279</v>
      </c>
      <c r="B257" s="3">
        <v>46083</v>
      </c>
      <c r="C257" t="s">
        <v>229</v>
      </c>
      <c r="D257" t="s">
        <v>34</v>
      </c>
      <c r="E257">
        <v>3</v>
      </c>
      <c r="F257">
        <v>50</v>
      </c>
      <c r="G257">
        <v>0</v>
      </c>
      <c r="H257">
        <v>10</v>
      </c>
      <c r="I257" t="s">
        <v>230</v>
      </c>
      <c r="J257" t="s">
        <v>19</v>
      </c>
      <c r="K257">
        <v>40</v>
      </c>
      <c r="L257">
        <f t="shared" si="12"/>
        <v>150</v>
      </c>
      <c r="M257">
        <f t="shared" si="13"/>
        <v>0</v>
      </c>
      <c r="N257">
        <f t="shared" si="14"/>
        <v>120</v>
      </c>
      <c r="O257" s="5">
        <f t="shared" si="15"/>
        <v>20</v>
      </c>
    </row>
    <row r="258" spans="1:15" x14ac:dyDescent="0.3">
      <c r="A258" t="s">
        <v>280</v>
      </c>
      <c r="B258" s="3">
        <v>46126</v>
      </c>
      <c r="C258" t="s">
        <v>229</v>
      </c>
      <c r="D258" t="s">
        <v>17</v>
      </c>
      <c r="E258">
        <v>14</v>
      </c>
      <c r="F258">
        <v>50</v>
      </c>
      <c r="G258">
        <v>0.35</v>
      </c>
      <c r="H258">
        <v>20</v>
      </c>
      <c r="I258" t="s">
        <v>230</v>
      </c>
      <c r="J258" t="s">
        <v>19</v>
      </c>
      <c r="K258">
        <v>40</v>
      </c>
      <c r="L258">
        <f t="shared" ref="L258:L321" si="16">E258*F258</f>
        <v>700</v>
      </c>
      <c r="M258">
        <f t="shared" ref="M258:M321" si="17">F258*G258</f>
        <v>17.5</v>
      </c>
      <c r="N258">
        <f t="shared" ref="N258:N321" si="18">E258*K258</f>
        <v>560</v>
      </c>
      <c r="O258" s="5">
        <f t="shared" ref="O258:O321" si="19">L258-H258-N258</f>
        <v>120</v>
      </c>
    </row>
    <row r="259" spans="1:15" x14ac:dyDescent="0.3">
      <c r="A259" t="s">
        <v>281</v>
      </c>
      <c r="B259" s="3">
        <v>46164</v>
      </c>
      <c r="C259" t="s">
        <v>229</v>
      </c>
      <c r="D259" t="s">
        <v>22</v>
      </c>
      <c r="E259">
        <v>17</v>
      </c>
      <c r="F259">
        <v>50</v>
      </c>
      <c r="G259">
        <v>0.1</v>
      </c>
      <c r="H259">
        <v>5</v>
      </c>
      <c r="I259" t="s">
        <v>230</v>
      </c>
      <c r="J259" t="s">
        <v>19</v>
      </c>
      <c r="K259">
        <v>40</v>
      </c>
      <c r="L259">
        <f t="shared" si="16"/>
        <v>850</v>
      </c>
      <c r="M259">
        <f t="shared" si="17"/>
        <v>5</v>
      </c>
      <c r="N259">
        <f t="shared" si="18"/>
        <v>680</v>
      </c>
      <c r="O259" s="5">
        <f t="shared" si="19"/>
        <v>165</v>
      </c>
    </row>
    <row r="260" spans="1:15" x14ac:dyDescent="0.3">
      <c r="A260" t="s">
        <v>282</v>
      </c>
      <c r="B260" s="3">
        <v>46148</v>
      </c>
      <c r="C260" t="s">
        <v>229</v>
      </c>
      <c r="D260" t="s">
        <v>17</v>
      </c>
      <c r="E260">
        <v>4</v>
      </c>
      <c r="F260">
        <v>50</v>
      </c>
      <c r="G260">
        <v>0.2</v>
      </c>
      <c r="H260">
        <v>15</v>
      </c>
      <c r="I260" t="s">
        <v>230</v>
      </c>
      <c r="J260" t="s">
        <v>19</v>
      </c>
      <c r="K260">
        <v>40</v>
      </c>
      <c r="L260">
        <f t="shared" si="16"/>
        <v>200</v>
      </c>
      <c r="M260">
        <f t="shared" si="17"/>
        <v>10</v>
      </c>
      <c r="N260">
        <f t="shared" si="18"/>
        <v>160</v>
      </c>
      <c r="O260" s="5">
        <f t="shared" si="19"/>
        <v>25</v>
      </c>
    </row>
    <row r="261" spans="1:15" x14ac:dyDescent="0.3">
      <c r="A261" t="s">
        <v>283</v>
      </c>
      <c r="B261" s="3">
        <v>46182</v>
      </c>
      <c r="C261" t="s">
        <v>229</v>
      </c>
      <c r="D261" t="s">
        <v>24</v>
      </c>
      <c r="E261">
        <v>1</v>
      </c>
      <c r="F261">
        <v>50</v>
      </c>
      <c r="G261">
        <v>0.1</v>
      </c>
      <c r="H261">
        <v>10</v>
      </c>
      <c r="I261" t="s">
        <v>230</v>
      </c>
      <c r="J261" t="s">
        <v>19</v>
      </c>
      <c r="K261">
        <v>40</v>
      </c>
      <c r="L261">
        <f t="shared" si="16"/>
        <v>50</v>
      </c>
      <c r="M261">
        <f t="shared" si="17"/>
        <v>5</v>
      </c>
      <c r="N261">
        <f t="shared" si="18"/>
        <v>40</v>
      </c>
      <c r="O261" s="5">
        <f t="shared" si="19"/>
        <v>0</v>
      </c>
    </row>
    <row r="262" spans="1:15" x14ac:dyDescent="0.3">
      <c r="A262" t="s">
        <v>284</v>
      </c>
      <c r="B262" s="3">
        <v>46110</v>
      </c>
      <c r="C262" t="s">
        <v>229</v>
      </c>
      <c r="D262" t="s">
        <v>34</v>
      </c>
      <c r="E262">
        <v>6</v>
      </c>
      <c r="F262">
        <v>50</v>
      </c>
      <c r="G262">
        <v>0.35</v>
      </c>
      <c r="H262">
        <v>15</v>
      </c>
      <c r="I262" t="s">
        <v>230</v>
      </c>
      <c r="J262" t="s">
        <v>19</v>
      </c>
      <c r="K262">
        <v>40</v>
      </c>
      <c r="L262">
        <f t="shared" si="16"/>
        <v>300</v>
      </c>
      <c r="M262">
        <f t="shared" si="17"/>
        <v>17.5</v>
      </c>
      <c r="N262">
        <f t="shared" si="18"/>
        <v>240</v>
      </c>
      <c r="O262" s="5">
        <f t="shared" si="19"/>
        <v>45</v>
      </c>
    </row>
    <row r="263" spans="1:15" x14ac:dyDescent="0.3">
      <c r="A263" t="s">
        <v>285</v>
      </c>
      <c r="B263" s="3">
        <v>46055</v>
      </c>
      <c r="C263" t="s">
        <v>229</v>
      </c>
      <c r="D263" t="s">
        <v>22</v>
      </c>
      <c r="E263">
        <v>18</v>
      </c>
      <c r="F263">
        <v>50</v>
      </c>
      <c r="G263">
        <v>0.1</v>
      </c>
      <c r="H263">
        <v>15</v>
      </c>
      <c r="I263" t="s">
        <v>230</v>
      </c>
      <c r="J263" t="s">
        <v>19</v>
      </c>
      <c r="K263">
        <v>40</v>
      </c>
      <c r="L263">
        <f t="shared" si="16"/>
        <v>900</v>
      </c>
      <c r="M263">
        <f t="shared" si="17"/>
        <v>5</v>
      </c>
      <c r="N263">
        <f t="shared" si="18"/>
        <v>720</v>
      </c>
      <c r="O263" s="5">
        <f t="shared" si="19"/>
        <v>165</v>
      </c>
    </row>
    <row r="264" spans="1:15" x14ac:dyDescent="0.3">
      <c r="A264" t="s">
        <v>286</v>
      </c>
      <c r="B264" s="3">
        <v>46378</v>
      </c>
      <c r="C264" t="s">
        <v>229</v>
      </c>
      <c r="D264" t="s">
        <v>24</v>
      </c>
      <c r="E264">
        <v>4</v>
      </c>
      <c r="F264">
        <v>50</v>
      </c>
      <c r="G264">
        <v>0</v>
      </c>
      <c r="H264">
        <v>5</v>
      </c>
      <c r="I264" t="s">
        <v>230</v>
      </c>
      <c r="J264" t="s">
        <v>19</v>
      </c>
      <c r="K264">
        <v>40</v>
      </c>
      <c r="L264">
        <f t="shared" si="16"/>
        <v>200</v>
      </c>
      <c r="M264">
        <f t="shared" si="17"/>
        <v>0</v>
      </c>
      <c r="N264">
        <f t="shared" si="18"/>
        <v>160</v>
      </c>
      <c r="O264" s="5">
        <f t="shared" si="19"/>
        <v>35</v>
      </c>
    </row>
    <row r="265" spans="1:15" x14ac:dyDescent="0.3">
      <c r="A265" t="s">
        <v>287</v>
      </c>
      <c r="B265" s="3">
        <v>46265</v>
      </c>
      <c r="C265" t="s">
        <v>229</v>
      </c>
      <c r="D265" t="s">
        <v>17</v>
      </c>
      <c r="E265">
        <v>8</v>
      </c>
      <c r="F265">
        <v>50</v>
      </c>
      <c r="G265">
        <v>0.35</v>
      </c>
      <c r="H265">
        <v>10</v>
      </c>
      <c r="I265" t="s">
        <v>230</v>
      </c>
      <c r="J265" t="s">
        <v>19</v>
      </c>
      <c r="K265">
        <v>40</v>
      </c>
      <c r="L265">
        <f t="shared" si="16"/>
        <v>400</v>
      </c>
      <c r="M265">
        <f t="shared" si="17"/>
        <v>17.5</v>
      </c>
      <c r="N265">
        <f t="shared" si="18"/>
        <v>320</v>
      </c>
      <c r="O265" s="5">
        <f t="shared" si="19"/>
        <v>70</v>
      </c>
    </row>
    <row r="266" spans="1:15" x14ac:dyDescent="0.3">
      <c r="A266" t="s">
        <v>288</v>
      </c>
      <c r="B266" s="3">
        <v>46223</v>
      </c>
      <c r="C266" t="s">
        <v>229</v>
      </c>
      <c r="D266" t="s">
        <v>22</v>
      </c>
      <c r="E266">
        <v>11</v>
      </c>
      <c r="F266">
        <v>50</v>
      </c>
      <c r="G266">
        <v>0.1</v>
      </c>
      <c r="H266">
        <v>10</v>
      </c>
      <c r="I266" t="s">
        <v>230</v>
      </c>
      <c r="J266" t="s">
        <v>19</v>
      </c>
      <c r="K266">
        <v>40</v>
      </c>
      <c r="L266">
        <f t="shared" si="16"/>
        <v>550</v>
      </c>
      <c r="M266">
        <f t="shared" si="17"/>
        <v>5</v>
      </c>
      <c r="N266">
        <f t="shared" si="18"/>
        <v>440</v>
      </c>
      <c r="O266" s="5">
        <f t="shared" si="19"/>
        <v>100</v>
      </c>
    </row>
    <row r="267" spans="1:15" x14ac:dyDescent="0.3">
      <c r="A267" t="s">
        <v>289</v>
      </c>
      <c r="B267" s="3">
        <v>46152</v>
      </c>
      <c r="C267" t="s">
        <v>229</v>
      </c>
      <c r="D267" t="s">
        <v>22</v>
      </c>
      <c r="E267">
        <v>10</v>
      </c>
      <c r="F267">
        <v>50</v>
      </c>
      <c r="G267">
        <v>0.35</v>
      </c>
      <c r="H267">
        <v>20</v>
      </c>
      <c r="I267" t="s">
        <v>230</v>
      </c>
      <c r="J267" t="s">
        <v>19</v>
      </c>
      <c r="K267">
        <v>40</v>
      </c>
      <c r="L267">
        <f t="shared" si="16"/>
        <v>500</v>
      </c>
      <c r="M267">
        <f t="shared" si="17"/>
        <v>17.5</v>
      </c>
      <c r="N267">
        <f t="shared" si="18"/>
        <v>400</v>
      </c>
      <c r="O267" s="5">
        <f t="shared" si="19"/>
        <v>80</v>
      </c>
    </row>
    <row r="268" spans="1:15" x14ac:dyDescent="0.3">
      <c r="A268" t="s">
        <v>290</v>
      </c>
      <c r="B268" s="3">
        <v>46271</v>
      </c>
      <c r="C268" t="s">
        <v>229</v>
      </c>
      <c r="D268" t="s">
        <v>17</v>
      </c>
      <c r="E268">
        <v>23</v>
      </c>
      <c r="F268">
        <v>50</v>
      </c>
      <c r="G268">
        <v>0.2</v>
      </c>
      <c r="H268">
        <v>10</v>
      </c>
      <c r="I268" t="s">
        <v>230</v>
      </c>
      <c r="J268" t="s">
        <v>19</v>
      </c>
      <c r="K268">
        <v>40</v>
      </c>
      <c r="L268">
        <f t="shared" si="16"/>
        <v>1150</v>
      </c>
      <c r="M268">
        <f t="shared" si="17"/>
        <v>10</v>
      </c>
      <c r="N268">
        <f t="shared" si="18"/>
        <v>920</v>
      </c>
      <c r="O268" s="5">
        <f t="shared" si="19"/>
        <v>220</v>
      </c>
    </row>
    <row r="269" spans="1:15" x14ac:dyDescent="0.3">
      <c r="A269" t="s">
        <v>291</v>
      </c>
      <c r="B269" s="3">
        <v>46057</v>
      </c>
      <c r="C269" t="s">
        <v>229</v>
      </c>
      <c r="D269" t="s">
        <v>17</v>
      </c>
      <c r="E269">
        <v>7</v>
      </c>
      <c r="F269">
        <v>50</v>
      </c>
      <c r="G269">
        <v>0.1</v>
      </c>
      <c r="H269">
        <v>5</v>
      </c>
      <c r="I269" t="s">
        <v>230</v>
      </c>
      <c r="J269" t="s">
        <v>19</v>
      </c>
      <c r="K269">
        <v>40</v>
      </c>
      <c r="L269">
        <f t="shared" si="16"/>
        <v>350</v>
      </c>
      <c r="M269">
        <f t="shared" si="17"/>
        <v>5</v>
      </c>
      <c r="N269">
        <f t="shared" si="18"/>
        <v>280</v>
      </c>
      <c r="O269" s="5">
        <f t="shared" si="19"/>
        <v>65</v>
      </c>
    </row>
    <row r="270" spans="1:15" x14ac:dyDescent="0.3">
      <c r="A270" t="s">
        <v>292</v>
      </c>
      <c r="B270" s="3">
        <v>46162</v>
      </c>
      <c r="C270" t="s">
        <v>229</v>
      </c>
      <c r="D270" t="s">
        <v>22</v>
      </c>
      <c r="E270">
        <v>7</v>
      </c>
      <c r="F270">
        <v>50</v>
      </c>
      <c r="G270">
        <v>0.1</v>
      </c>
      <c r="H270">
        <v>5</v>
      </c>
      <c r="I270" t="s">
        <v>230</v>
      </c>
      <c r="J270" t="s">
        <v>19</v>
      </c>
      <c r="K270">
        <v>40</v>
      </c>
      <c r="L270">
        <f t="shared" si="16"/>
        <v>350</v>
      </c>
      <c r="M270">
        <f t="shared" si="17"/>
        <v>5</v>
      </c>
      <c r="N270">
        <f t="shared" si="18"/>
        <v>280</v>
      </c>
      <c r="O270" s="5">
        <f t="shared" si="19"/>
        <v>65</v>
      </c>
    </row>
    <row r="271" spans="1:15" x14ac:dyDescent="0.3">
      <c r="A271" t="s">
        <v>293</v>
      </c>
      <c r="B271" s="3">
        <v>46299</v>
      </c>
      <c r="C271" t="s">
        <v>229</v>
      </c>
      <c r="D271" t="s">
        <v>24</v>
      </c>
      <c r="E271">
        <v>20</v>
      </c>
      <c r="F271">
        <v>50</v>
      </c>
      <c r="G271">
        <v>0</v>
      </c>
      <c r="H271">
        <v>10</v>
      </c>
      <c r="I271" t="s">
        <v>230</v>
      </c>
      <c r="J271" t="s">
        <v>19</v>
      </c>
      <c r="K271">
        <v>40</v>
      </c>
      <c r="L271">
        <f t="shared" si="16"/>
        <v>1000</v>
      </c>
      <c r="M271">
        <f t="shared" si="17"/>
        <v>0</v>
      </c>
      <c r="N271">
        <f t="shared" si="18"/>
        <v>800</v>
      </c>
      <c r="O271" s="5">
        <f t="shared" si="19"/>
        <v>190</v>
      </c>
    </row>
    <row r="272" spans="1:15" x14ac:dyDescent="0.3">
      <c r="A272" t="s">
        <v>294</v>
      </c>
      <c r="B272" s="3">
        <v>46227</v>
      </c>
      <c r="C272" t="s">
        <v>229</v>
      </c>
      <c r="D272" t="s">
        <v>24</v>
      </c>
      <c r="E272">
        <v>23</v>
      </c>
      <c r="F272">
        <v>50</v>
      </c>
      <c r="G272">
        <v>0.35</v>
      </c>
      <c r="H272">
        <v>10</v>
      </c>
      <c r="I272" t="s">
        <v>230</v>
      </c>
      <c r="J272" t="s">
        <v>19</v>
      </c>
      <c r="K272">
        <v>40</v>
      </c>
      <c r="L272">
        <f t="shared" si="16"/>
        <v>1150</v>
      </c>
      <c r="M272">
        <f t="shared" si="17"/>
        <v>17.5</v>
      </c>
      <c r="N272">
        <f t="shared" si="18"/>
        <v>920</v>
      </c>
      <c r="O272" s="5">
        <f t="shared" si="19"/>
        <v>220</v>
      </c>
    </row>
    <row r="273" spans="1:15" x14ac:dyDescent="0.3">
      <c r="A273" t="s">
        <v>295</v>
      </c>
      <c r="B273" s="3">
        <v>46243</v>
      </c>
      <c r="C273" t="s">
        <v>229</v>
      </c>
      <c r="D273" t="s">
        <v>17</v>
      </c>
      <c r="E273">
        <v>3</v>
      </c>
      <c r="F273">
        <v>50</v>
      </c>
      <c r="G273">
        <v>0.2</v>
      </c>
      <c r="H273">
        <v>20</v>
      </c>
      <c r="I273" t="s">
        <v>230</v>
      </c>
      <c r="J273" t="s">
        <v>19</v>
      </c>
      <c r="K273">
        <v>40</v>
      </c>
      <c r="L273">
        <f t="shared" si="16"/>
        <v>150</v>
      </c>
      <c r="M273">
        <f t="shared" si="17"/>
        <v>10</v>
      </c>
      <c r="N273">
        <f t="shared" si="18"/>
        <v>120</v>
      </c>
      <c r="O273" s="5">
        <f t="shared" si="19"/>
        <v>10</v>
      </c>
    </row>
    <row r="274" spans="1:15" x14ac:dyDescent="0.3">
      <c r="A274" t="s">
        <v>296</v>
      </c>
      <c r="B274" s="3">
        <v>46087</v>
      </c>
      <c r="C274" t="s">
        <v>229</v>
      </c>
      <c r="D274" t="s">
        <v>24</v>
      </c>
      <c r="E274">
        <v>10</v>
      </c>
      <c r="F274">
        <v>50</v>
      </c>
      <c r="G274">
        <v>0</v>
      </c>
      <c r="H274">
        <v>10</v>
      </c>
      <c r="I274" t="s">
        <v>230</v>
      </c>
      <c r="J274" t="s">
        <v>19</v>
      </c>
      <c r="K274">
        <v>40</v>
      </c>
      <c r="L274">
        <f t="shared" si="16"/>
        <v>500</v>
      </c>
      <c r="M274">
        <f t="shared" si="17"/>
        <v>0</v>
      </c>
      <c r="N274">
        <f t="shared" si="18"/>
        <v>400</v>
      </c>
      <c r="O274" s="5">
        <f t="shared" si="19"/>
        <v>90</v>
      </c>
    </row>
    <row r="275" spans="1:15" x14ac:dyDescent="0.3">
      <c r="A275" t="s">
        <v>297</v>
      </c>
      <c r="B275" s="3">
        <v>46157</v>
      </c>
      <c r="C275" t="s">
        <v>229</v>
      </c>
      <c r="D275" t="s">
        <v>17</v>
      </c>
      <c r="E275">
        <v>19</v>
      </c>
      <c r="F275">
        <v>50</v>
      </c>
      <c r="G275">
        <v>0.2</v>
      </c>
      <c r="H275">
        <v>20</v>
      </c>
      <c r="I275" t="s">
        <v>230</v>
      </c>
      <c r="J275" t="s">
        <v>19</v>
      </c>
      <c r="K275">
        <v>40</v>
      </c>
      <c r="L275">
        <f t="shared" si="16"/>
        <v>950</v>
      </c>
      <c r="M275">
        <f t="shared" si="17"/>
        <v>10</v>
      </c>
      <c r="N275">
        <f t="shared" si="18"/>
        <v>760</v>
      </c>
      <c r="O275" s="5">
        <f t="shared" si="19"/>
        <v>170</v>
      </c>
    </row>
    <row r="276" spans="1:15" x14ac:dyDescent="0.3">
      <c r="A276" t="s">
        <v>298</v>
      </c>
      <c r="B276" s="3">
        <v>46185</v>
      </c>
      <c r="C276" t="s">
        <v>229</v>
      </c>
      <c r="D276" t="s">
        <v>34</v>
      </c>
      <c r="E276">
        <v>18</v>
      </c>
      <c r="F276">
        <v>50</v>
      </c>
      <c r="G276">
        <v>0.35</v>
      </c>
      <c r="H276">
        <v>10</v>
      </c>
      <c r="I276" t="s">
        <v>230</v>
      </c>
      <c r="J276" t="s">
        <v>19</v>
      </c>
      <c r="K276">
        <v>40</v>
      </c>
      <c r="L276">
        <f t="shared" si="16"/>
        <v>900</v>
      </c>
      <c r="M276">
        <f t="shared" si="17"/>
        <v>17.5</v>
      </c>
      <c r="N276">
        <f t="shared" si="18"/>
        <v>720</v>
      </c>
      <c r="O276" s="5">
        <f t="shared" si="19"/>
        <v>170</v>
      </c>
    </row>
    <row r="277" spans="1:15" x14ac:dyDescent="0.3">
      <c r="A277" t="s">
        <v>299</v>
      </c>
      <c r="B277" s="3">
        <v>46231</v>
      </c>
      <c r="C277" t="s">
        <v>229</v>
      </c>
      <c r="D277" t="s">
        <v>17</v>
      </c>
      <c r="E277">
        <v>7</v>
      </c>
      <c r="F277">
        <v>50</v>
      </c>
      <c r="G277">
        <v>0.1</v>
      </c>
      <c r="H277">
        <v>5</v>
      </c>
      <c r="I277" t="s">
        <v>230</v>
      </c>
      <c r="J277" t="s">
        <v>19</v>
      </c>
      <c r="K277">
        <v>40</v>
      </c>
      <c r="L277">
        <f t="shared" si="16"/>
        <v>350</v>
      </c>
      <c r="M277">
        <f t="shared" si="17"/>
        <v>5</v>
      </c>
      <c r="N277">
        <f t="shared" si="18"/>
        <v>280</v>
      </c>
      <c r="O277" s="5">
        <f t="shared" si="19"/>
        <v>65</v>
      </c>
    </row>
    <row r="278" spans="1:15" x14ac:dyDescent="0.3">
      <c r="A278" t="s">
        <v>300</v>
      </c>
      <c r="B278" s="3">
        <v>46090</v>
      </c>
      <c r="C278" t="s">
        <v>229</v>
      </c>
      <c r="D278" t="s">
        <v>17</v>
      </c>
      <c r="E278">
        <v>17</v>
      </c>
      <c r="F278">
        <v>50</v>
      </c>
      <c r="G278">
        <v>0.2</v>
      </c>
      <c r="H278">
        <v>10</v>
      </c>
      <c r="I278" t="s">
        <v>230</v>
      </c>
      <c r="J278" t="s">
        <v>19</v>
      </c>
      <c r="K278">
        <v>40</v>
      </c>
      <c r="L278">
        <f t="shared" si="16"/>
        <v>850</v>
      </c>
      <c r="M278">
        <f t="shared" si="17"/>
        <v>10</v>
      </c>
      <c r="N278">
        <f t="shared" si="18"/>
        <v>680</v>
      </c>
      <c r="O278" s="5">
        <f t="shared" si="19"/>
        <v>160</v>
      </c>
    </row>
    <row r="279" spans="1:15" x14ac:dyDescent="0.3">
      <c r="A279" t="s">
        <v>301</v>
      </c>
      <c r="B279" s="3">
        <v>46101</v>
      </c>
      <c r="C279" t="s">
        <v>229</v>
      </c>
      <c r="D279" t="s">
        <v>24</v>
      </c>
      <c r="E279">
        <v>22</v>
      </c>
      <c r="F279">
        <v>50</v>
      </c>
      <c r="G279">
        <v>0</v>
      </c>
      <c r="H279">
        <v>10</v>
      </c>
      <c r="I279" t="s">
        <v>230</v>
      </c>
      <c r="J279" t="s">
        <v>19</v>
      </c>
      <c r="K279">
        <v>40</v>
      </c>
      <c r="L279">
        <f t="shared" si="16"/>
        <v>1100</v>
      </c>
      <c r="M279">
        <f t="shared" si="17"/>
        <v>0</v>
      </c>
      <c r="N279">
        <f t="shared" si="18"/>
        <v>880</v>
      </c>
      <c r="O279" s="5">
        <f t="shared" si="19"/>
        <v>210</v>
      </c>
    </row>
    <row r="280" spans="1:15" x14ac:dyDescent="0.3">
      <c r="A280" t="s">
        <v>302</v>
      </c>
      <c r="B280" s="3">
        <v>46195</v>
      </c>
      <c r="C280" t="s">
        <v>229</v>
      </c>
      <c r="D280" t="s">
        <v>22</v>
      </c>
      <c r="E280">
        <v>10</v>
      </c>
      <c r="F280">
        <v>50</v>
      </c>
      <c r="G280">
        <v>0.2</v>
      </c>
      <c r="H280">
        <v>10</v>
      </c>
      <c r="I280" t="s">
        <v>230</v>
      </c>
      <c r="J280" t="s">
        <v>19</v>
      </c>
      <c r="K280">
        <v>40</v>
      </c>
      <c r="L280">
        <f t="shared" si="16"/>
        <v>500</v>
      </c>
      <c r="M280">
        <f t="shared" si="17"/>
        <v>10</v>
      </c>
      <c r="N280">
        <f t="shared" si="18"/>
        <v>400</v>
      </c>
      <c r="O280" s="5">
        <f t="shared" si="19"/>
        <v>90</v>
      </c>
    </row>
    <row r="281" spans="1:15" x14ac:dyDescent="0.3">
      <c r="A281" t="s">
        <v>303</v>
      </c>
      <c r="B281" s="3">
        <v>46123</v>
      </c>
      <c r="C281" t="s">
        <v>229</v>
      </c>
      <c r="D281" t="s">
        <v>24</v>
      </c>
      <c r="E281">
        <v>16</v>
      </c>
      <c r="F281">
        <v>50</v>
      </c>
      <c r="G281">
        <v>0.35</v>
      </c>
      <c r="H281">
        <v>10</v>
      </c>
      <c r="I281" t="s">
        <v>230</v>
      </c>
      <c r="J281" t="s">
        <v>19</v>
      </c>
      <c r="K281">
        <v>40</v>
      </c>
      <c r="L281">
        <f t="shared" si="16"/>
        <v>800</v>
      </c>
      <c r="M281">
        <f t="shared" si="17"/>
        <v>17.5</v>
      </c>
      <c r="N281">
        <f t="shared" si="18"/>
        <v>640</v>
      </c>
      <c r="O281" s="5">
        <f t="shared" si="19"/>
        <v>150</v>
      </c>
    </row>
    <row r="282" spans="1:15" x14ac:dyDescent="0.3">
      <c r="A282" t="s">
        <v>304</v>
      </c>
      <c r="B282" s="3">
        <v>46151</v>
      </c>
      <c r="C282" t="s">
        <v>229</v>
      </c>
      <c r="D282" t="s">
        <v>34</v>
      </c>
      <c r="E282">
        <v>2</v>
      </c>
      <c r="F282">
        <v>50</v>
      </c>
      <c r="G282">
        <v>0.1</v>
      </c>
      <c r="H282">
        <v>15</v>
      </c>
      <c r="I282" t="s">
        <v>230</v>
      </c>
      <c r="J282" t="s">
        <v>19</v>
      </c>
      <c r="K282">
        <v>40</v>
      </c>
      <c r="L282">
        <f t="shared" si="16"/>
        <v>100</v>
      </c>
      <c r="M282">
        <f t="shared" si="17"/>
        <v>5</v>
      </c>
      <c r="N282">
        <f t="shared" si="18"/>
        <v>80</v>
      </c>
      <c r="O282" s="5">
        <f t="shared" si="19"/>
        <v>5</v>
      </c>
    </row>
    <row r="283" spans="1:15" x14ac:dyDescent="0.3">
      <c r="A283" t="s">
        <v>305</v>
      </c>
      <c r="B283" s="3">
        <v>46052</v>
      </c>
      <c r="C283" t="s">
        <v>229</v>
      </c>
      <c r="D283" t="s">
        <v>24</v>
      </c>
      <c r="E283">
        <v>19</v>
      </c>
      <c r="F283">
        <v>50</v>
      </c>
      <c r="G283">
        <v>0.35</v>
      </c>
      <c r="H283">
        <v>20</v>
      </c>
      <c r="I283" t="s">
        <v>230</v>
      </c>
      <c r="J283" t="s">
        <v>19</v>
      </c>
      <c r="K283">
        <v>40</v>
      </c>
      <c r="L283">
        <f t="shared" si="16"/>
        <v>950</v>
      </c>
      <c r="M283">
        <f t="shared" si="17"/>
        <v>17.5</v>
      </c>
      <c r="N283">
        <f t="shared" si="18"/>
        <v>760</v>
      </c>
      <c r="O283" s="5">
        <f t="shared" si="19"/>
        <v>170</v>
      </c>
    </row>
    <row r="284" spans="1:15" x14ac:dyDescent="0.3">
      <c r="A284" t="s">
        <v>306</v>
      </c>
      <c r="B284" s="3">
        <v>46322</v>
      </c>
      <c r="C284" t="s">
        <v>229</v>
      </c>
      <c r="D284" t="s">
        <v>22</v>
      </c>
      <c r="E284">
        <v>21</v>
      </c>
      <c r="F284">
        <v>50</v>
      </c>
      <c r="G284">
        <v>0.1</v>
      </c>
      <c r="H284">
        <v>20</v>
      </c>
      <c r="I284" t="s">
        <v>230</v>
      </c>
      <c r="J284" t="s">
        <v>19</v>
      </c>
      <c r="K284">
        <v>40</v>
      </c>
      <c r="L284">
        <f t="shared" si="16"/>
        <v>1050</v>
      </c>
      <c r="M284">
        <f t="shared" si="17"/>
        <v>5</v>
      </c>
      <c r="N284">
        <f t="shared" si="18"/>
        <v>840</v>
      </c>
      <c r="O284" s="5">
        <f t="shared" si="19"/>
        <v>190</v>
      </c>
    </row>
    <row r="285" spans="1:15" x14ac:dyDescent="0.3">
      <c r="A285" t="s">
        <v>307</v>
      </c>
      <c r="B285" s="3">
        <v>46194</v>
      </c>
      <c r="C285" t="s">
        <v>229</v>
      </c>
      <c r="D285" t="s">
        <v>34</v>
      </c>
      <c r="E285">
        <v>4</v>
      </c>
      <c r="F285">
        <v>50</v>
      </c>
      <c r="G285">
        <v>0.2</v>
      </c>
      <c r="H285">
        <v>5</v>
      </c>
      <c r="I285" t="s">
        <v>230</v>
      </c>
      <c r="J285" t="s">
        <v>19</v>
      </c>
      <c r="K285">
        <v>40</v>
      </c>
      <c r="L285">
        <f t="shared" si="16"/>
        <v>200</v>
      </c>
      <c r="M285">
        <f t="shared" si="17"/>
        <v>10</v>
      </c>
      <c r="N285">
        <f t="shared" si="18"/>
        <v>160</v>
      </c>
      <c r="O285" s="5">
        <f t="shared" si="19"/>
        <v>35</v>
      </c>
    </row>
    <row r="286" spans="1:15" x14ac:dyDescent="0.3">
      <c r="A286" t="s">
        <v>308</v>
      </c>
      <c r="B286" s="3">
        <v>46093</v>
      </c>
      <c r="C286" t="s">
        <v>229</v>
      </c>
      <c r="D286" t="s">
        <v>24</v>
      </c>
      <c r="E286">
        <v>3</v>
      </c>
      <c r="F286">
        <v>50</v>
      </c>
      <c r="G286">
        <v>0</v>
      </c>
      <c r="H286">
        <v>20</v>
      </c>
      <c r="I286" t="s">
        <v>230</v>
      </c>
      <c r="J286" t="s">
        <v>19</v>
      </c>
      <c r="K286">
        <v>40</v>
      </c>
      <c r="L286">
        <f t="shared" si="16"/>
        <v>150</v>
      </c>
      <c r="M286">
        <f t="shared" si="17"/>
        <v>0</v>
      </c>
      <c r="N286">
        <f t="shared" si="18"/>
        <v>120</v>
      </c>
      <c r="O286" s="5">
        <f t="shared" si="19"/>
        <v>10</v>
      </c>
    </row>
    <row r="287" spans="1:15" x14ac:dyDescent="0.3">
      <c r="A287" t="s">
        <v>309</v>
      </c>
      <c r="B287" s="3">
        <v>46042</v>
      </c>
      <c r="C287" t="s">
        <v>229</v>
      </c>
      <c r="D287" t="s">
        <v>24</v>
      </c>
      <c r="E287">
        <v>17</v>
      </c>
      <c r="F287">
        <v>50</v>
      </c>
      <c r="G287">
        <v>0.35</v>
      </c>
      <c r="H287">
        <v>5</v>
      </c>
      <c r="I287" t="s">
        <v>230</v>
      </c>
      <c r="J287" t="s">
        <v>19</v>
      </c>
      <c r="K287">
        <v>40</v>
      </c>
      <c r="L287">
        <f t="shared" si="16"/>
        <v>850</v>
      </c>
      <c r="M287">
        <f t="shared" si="17"/>
        <v>17.5</v>
      </c>
      <c r="N287">
        <f t="shared" si="18"/>
        <v>680</v>
      </c>
      <c r="O287" s="5">
        <f t="shared" si="19"/>
        <v>165</v>
      </c>
    </row>
    <row r="288" spans="1:15" x14ac:dyDescent="0.3">
      <c r="A288" t="s">
        <v>310</v>
      </c>
      <c r="B288" s="3">
        <v>46063</v>
      </c>
      <c r="C288" t="s">
        <v>229</v>
      </c>
      <c r="D288" t="s">
        <v>22</v>
      </c>
      <c r="E288">
        <v>25</v>
      </c>
      <c r="F288">
        <v>50</v>
      </c>
      <c r="G288">
        <v>0.35</v>
      </c>
      <c r="H288">
        <v>5</v>
      </c>
      <c r="I288" t="s">
        <v>230</v>
      </c>
      <c r="J288" t="s">
        <v>19</v>
      </c>
      <c r="K288">
        <v>40</v>
      </c>
      <c r="L288">
        <f t="shared" si="16"/>
        <v>1250</v>
      </c>
      <c r="M288">
        <f t="shared" si="17"/>
        <v>17.5</v>
      </c>
      <c r="N288">
        <f t="shared" si="18"/>
        <v>1000</v>
      </c>
      <c r="O288" s="5">
        <f t="shared" si="19"/>
        <v>245</v>
      </c>
    </row>
    <row r="289" spans="1:15" x14ac:dyDescent="0.3">
      <c r="A289" t="s">
        <v>311</v>
      </c>
      <c r="B289" s="3">
        <v>46248</v>
      </c>
      <c r="C289" t="s">
        <v>229</v>
      </c>
      <c r="D289" t="s">
        <v>22</v>
      </c>
      <c r="E289">
        <v>22</v>
      </c>
      <c r="F289">
        <v>50</v>
      </c>
      <c r="G289">
        <v>0</v>
      </c>
      <c r="H289">
        <v>5</v>
      </c>
      <c r="I289" t="s">
        <v>230</v>
      </c>
      <c r="J289" t="s">
        <v>19</v>
      </c>
      <c r="K289">
        <v>40</v>
      </c>
      <c r="L289">
        <f t="shared" si="16"/>
        <v>1100</v>
      </c>
      <c r="M289">
        <f t="shared" si="17"/>
        <v>0</v>
      </c>
      <c r="N289">
        <f t="shared" si="18"/>
        <v>880</v>
      </c>
      <c r="O289" s="5">
        <f t="shared" si="19"/>
        <v>215</v>
      </c>
    </row>
    <row r="290" spans="1:15" x14ac:dyDescent="0.3">
      <c r="A290" t="s">
        <v>312</v>
      </c>
      <c r="B290" s="3">
        <v>46130</v>
      </c>
      <c r="C290" t="s">
        <v>229</v>
      </c>
      <c r="D290" t="s">
        <v>24</v>
      </c>
      <c r="E290">
        <v>19</v>
      </c>
      <c r="F290">
        <v>50</v>
      </c>
      <c r="G290">
        <v>0.1</v>
      </c>
      <c r="H290">
        <v>20</v>
      </c>
      <c r="I290" t="s">
        <v>230</v>
      </c>
      <c r="J290" t="s">
        <v>19</v>
      </c>
      <c r="K290">
        <v>40</v>
      </c>
      <c r="L290">
        <f t="shared" si="16"/>
        <v>950</v>
      </c>
      <c r="M290">
        <f t="shared" si="17"/>
        <v>5</v>
      </c>
      <c r="N290">
        <f t="shared" si="18"/>
        <v>760</v>
      </c>
      <c r="O290" s="5">
        <f t="shared" si="19"/>
        <v>170</v>
      </c>
    </row>
    <row r="291" spans="1:15" x14ac:dyDescent="0.3">
      <c r="A291" t="s">
        <v>313</v>
      </c>
      <c r="B291" s="3">
        <v>46371</v>
      </c>
      <c r="C291" t="s">
        <v>229</v>
      </c>
      <c r="D291" t="s">
        <v>22</v>
      </c>
      <c r="E291">
        <v>15</v>
      </c>
      <c r="F291">
        <v>50</v>
      </c>
      <c r="G291">
        <v>0</v>
      </c>
      <c r="H291">
        <v>10</v>
      </c>
      <c r="I291" t="s">
        <v>230</v>
      </c>
      <c r="J291" t="s">
        <v>19</v>
      </c>
      <c r="K291">
        <v>40</v>
      </c>
      <c r="L291">
        <f t="shared" si="16"/>
        <v>750</v>
      </c>
      <c r="M291">
        <f t="shared" si="17"/>
        <v>0</v>
      </c>
      <c r="N291">
        <f t="shared" si="18"/>
        <v>600</v>
      </c>
      <c r="O291" s="5">
        <f t="shared" si="19"/>
        <v>140</v>
      </c>
    </row>
    <row r="292" spans="1:15" x14ac:dyDescent="0.3">
      <c r="A292" t="s">
        <v>314</v>
      </c>
      <c r="B292" s="3">
        <v>46293</v>
      </c>
      <c r="C292" t="s">
        <v>229</v>
      </c>
      <c r="D292" t="s">
        <v>24</v>
      </c>
      <c r="E292">
        <v>13</v>
      </c>
      <c r="F292">
        <v>50</v>
      </c>
      <c r="G292">
        <v>0</v>
      </c>
      <c r="H292">
        <v>5</v>
      </c>
      <c r="I292" t="s">
        <v>230</v>
      </c>
      <c r="J292" t="s">
        <v>19</v>
      </c>
      <c r="K292">
        <v>40</v>
      </c>
      <c r="L292">
        <f t="shared" si="16"/>
        <v>650</v>
      </c>
      <c r="M292">
        <f t="shared" si="17"/>
        <v>0</v>
      </c>
      <c r="N292">
        <f t="shared" si="18"/>
        <v>520</v>
      </c>
      <c r="O292" s="5">
        <f t="shared" si="19"/>
        <v>125</v>
      </c>
    </row>
    <row r="293" spans="1:15" x14ac:dyDescent="0.3">
      <c r="A293" t="s">
        <v>315</v>
      </c>
      <c r="B293" s="3">
        <v>46216</v>
      </c>
      <c r="C293" t="s">
        <v>229</v>
      </c>
      <c r="D293" t="s">
        <v>24</v>
      </c>
      <c r="E293">
        <v>23</v>
      </c>
      <c r="F293">
        <v>50</v>
      </c>
      <c r="G293">
        <v>0.1</v>
      </c>
      <c r="H293">
        <v>5</v>
      </c>
      <c r="I293" t="s">
        <v>230</v>
      </c>
      <c r="J293" t="s">
        <v>19</v>
      </c>
      <c r="K293">
        <v>40</v>
      </c>
      <c r="L293">
        <f t="shared" si="16"/>
        <v>1150</v>
      </c>
      <c r="M293">
        <f t="shared" si="17"/>
        <v>5</v>
      </c>
      <c r="N293">
        <f t="shared" si="18"/>
        <v>920</v>
      </c>
      <c r="O293" s="5">
        <f t="shared" si="19"/>
        <v>225</v>
      </c>
    </row>
    <row r="294" spans="1:15" x14ac:dyDescent="0.3">
      <c r="A294" t="s">
        <v>316</v>
      </c>
      <c r="B294" s="3">
        <v>46120</v>
      </c>
      <c r="C294" t="s">
        <v>229</v>
      </c>
      <c r="D294" t="s">
        <v>34</v>
      </c>
      <c r="E294">
        <v>15</v>
      </c>
      <c r="F294">
        <v>50</v>
      </c>
      <c r="G294">
        <v>0.1</v>
      </c>
      <c r="H294">
        <v>20</v>
      </c>
      <c r="I294" t="s">
        <v>230</v>
      </c>
      <c r="J294" t="s">
        <v>19</v>
      </c>
      <c r="K294">
        <v>40</v>
      </c>
      <c r="L294">
        <f t="shared" si="16"/>
        <v>750</v>
      </c>
      <c r="M294">
        <f t="shared" si="17"/>
        <v>5</v>
      </c>
      <c r="N294">
        <f t="shared" si="18"/>
        <v>600</v>
      </c>
      <c r="O294" s="5">
        <f t="shared" si="19"/>
        <v>130</v>
      </c>
    </row>
    <row r="295" spans="1:15" x14ac:dyDescent="0.3">
      <c r="A295" t="s">
        <v>317</v>
      </c>
      <c r="B295" s="3">
        <v>46319</v>
      </c>
      <c r="C295" t="s">
        <v>229</v>
      </c>
      <c r="D295" t="s">
        <v>24</v>
      </c>
      <c r="E295">
        <v>16</v>
      </c>
      <c r="F295">
        <v>50</v>
      </c>
      <c r="G295">
        <v>0</v>
      </c>
      <c r="H295">
        <v>10</v>
      </c>
      <c r="I295" t="s">
        <v>230</v>
      </c>
      <c r="J295" t="s">
        <v>19</v>
      </c>
      <c r="K295">
        <v>40</v>
      </c>
      <c r="L295">
        <f t="shared" si="16"/>
        <v>800</v>
      </c>
      <c r="M295">
        <f t="shared" si="17"/>
        <v>0</v>
      </c>
      <c r="N295">
        <f t="shared" si="18"/>
        <v>640</v>
      </c>
      <c r="O295" s="5">
        <f t="shared" si="19"/>
        <v>150</v>
      </c>
    </row>
    <row r="296" spans="1:15" x14ac:dyDescent="0.3">
      <c r="A296" t="s">
        <v>318</v>
      </c>
      <c r="B296" s="3">
        <v>46182</v>
      </c>
      <c r="C296" t="s">
        <v>229</v>
      </c>
      <c r="D296" t="s">
        <v>34</v>
      </c>
      <c r="E296">
        <v>5</v>
      </c>
      <c r="F296">
        <v>50</v>
      </c>
      <c r="G296">
        <v>0.1</v>
      </c>
      <c r="H296">
        <v>10</v>
      </c>
      <c r="I296" t="s">
        <v>230</v>
      </c>
      <c r="J296" t="s">
        <v>19</v>
      </c>
      <c r="K296">
        <v>40</v>
      </c>
      <c r="L296">
        <f t="shared" si="16"/>
        <v>250</v>
      </c>
      <c r="M296">
        <f t="shared" si="17"/>
        <v>5</v>
      </c>
      <c r="N296">
        <f t="shared" si="18"/>
        <v>200</v>
      </c>
      <c r="O296" s="5">
        <f t="shared" si="19"/>
        <v>40</v>
      </c>
    </row>
    <row r="297" spans="1:15" x14ac:dyDescent="0.3">
      <c r="A297" t="s">
        <v>319</v>
      </c>
      <c r="B297" s="3">
        <v>46110</v>
      </c>
      <c r="C297" t="s">
        <v>229</v>
      </c>
      <c r="D297" t="s">
        <v>17</v>
      </c>
      <c r="E297">
        <v>21</v>
      </c>
      <c r="F297">
        <v>50</v>
      </c>
      <c r="G297">
        <v>0.2</v>
      </c>
      <c r="H297">
        <v>20</v>
      </c>
      <c r="I297" t="s">
        <v>230</v>
      </c>
      <c r="J297" t="s">
        <v>19</v>
      </c>
      <c r="K297">
        <v>40</v>
      </c>
      <c r="L297">
        <f t="shared" si="16"/>
        <v>1050</v>
      </c>
      <c r="M297">
        <f t="shared" si="17"/>
        <v>10</v>
      </c>
      <c r="N297">
        <f t="shared" si="18"/>
        <v>840</v>
      </c>
      <c r="O297" s="5">
        <f t="shared" si="19"/>
        <v>190</v>
      </c>
    </row>
    <row r="298" spans="1:15" x14ac:dyDescent="0.3">
      <c r="A298" t="s">
        <v>320</v>
      </c>
      <c r="B298" s="3">
        <v>46360</v>
      </c>
      <c r="C298" t="s">
        <v>229</v>
      </c>
      <c r="D298" t="s">
        <v>34</v>
      </c>
      <c r="E298">
        <v>3</v>
      </c>
      <c r="F298">
        <v>50</v>
      </c>
      <c r="G298">
        <v>0.35</v>
      </c>
      <c r="H298">
        <v>15</v>
      </c>
      <c r="I298" t="s">
        <v>230</v>
      </c>
      <c r="J298" t="s">
        <v>19</v>
      </c>
      <c r="K298">
        <v>40</v>
      </c>
      <c r="L298">
        <f t="shared" si="16"/>
        <v>150</v>
      </c>
      <c r="M298">
        <f t="shared" si="17"/>
        <v>17.5</v>
      </c>
      <c r="N298">
        <f t="shared" si="18"/>
        <v>120</v>
      </c>
      <c r="O298" s="5">
        <f t="shared" si="19"/>
        <v>15</v>
      </c>
    </row>
    <row r="299" spans="1:15" x14ac:dyDescent="0.3">
      <c r="A299" t="s">
        <v>321</v>
      </c>
      <c r="B299" s="3">
        <v>46359</v>
      </c>
      <c r="C299" t="s">
        <v>229</v>
      </c>
      <c r="D299" t="s">
        <v>24</v>
      </c>
      <c r="E299">
        <v>8</v>
      </c>
      <c r="F299">
        <v>50</v>
      </c>
      <c r="G299">
        <v>0.35</v>
      </c>
      <c r="H299">
        <v>20</v>
      </c>
      <c r="I299" t="s">
        <v>230</v>
      </c>
      <c r="J299" t="s">
        <v>19</v>
      </c>
      <c r="K299">
        <v>40</v>
      </c>
      <c r="L299">
        <f t="shared" si="16"/>
        <v>400</v>
      </c>
      <c r="M299">
        <f t="shared" si="17"/>
        <v>17.5</v>
      </c>
      <c r="N299">
        <f t="shared" si="18"/>
        <v>320</v>
      </c>
      <c r="O299" s="5">
        <f t="shared" si="19"/>
        <v>60</v>
      </c>
    </row>
    <row r="300" spans="1:15" x14ac:dyDescent="0.3">
      <c r="A300" t="s">
        <v>322</v>
      </c>
      <c r="B300" s="3">
        <v>46361</v>
      </c>
      <c r="C300" t="s">
        <v>229</v>
      </c>
      <c r="D300" t="s">
        <v>34</v>
      </c>
      <c r="E300">
        <v>4</v>
      </c>
      <c r="F300">
        <v>50</v>
      </c>
      <c r="G300">
        <v>0.1</v>
      </c>
      <c r="H300">
        <v>15</v>
      </c>
      <c r="I300" t="s">
        <v>230</v>
      </c>
      <c r="J300" t="s">
        <v>19</v>
      </c>
      <c r="K300">
        <v>40</v>
      </c>
      <c r="L300">
        <f t="shared" si="16"/>
        <v>200</v>
      </c>
      <c r="M300">
        <f t="shared" si="17"/>
        <v>5</v>
      </c>
      <c r="N300">
        <f t="shared" si="18"/>
        <v>160</v>
      </c>
      <c r="O300" s="5">
        <f t="shared" si="19"/>
        <v>25</v>
      </c>
    </row>
    <row r="301" spans="1:15" x14ac:dyDescent="0.3">
      <c r="A301" t="s">
        <v>323</v>
      </c>
      <c r="B301" s="3">
        <v>46330</v>
      </c>
      <c r="C301" t="s">
        <v>229</v>
      </c>
      <c r="D301" t="s">
        <v>22</v>
      </c>
      <c r="E301">
        <v>20</v>
      </c>
      <c r="F301">
        <v>50</v>
      </c>
      <c r="G301">
        <v>0.2</v>
      </c>
      <c r="H301">
        <v>10</v>
      </c>
      <c r="I301" t="s">
        <v>230</v>
      </c>
      <c r="J301" t="s">
        <v>19</v>
      </c>
      <c r="K301">
        <v>40</v>
      </c>
      <c r="L301">
        <f t="shared" si="16"/>
        <v>1000</v>
      </c>
      <c r="M301">
        <f t="shared" si="17"/>
        <v>10</v>
      </c>
      <c r="N301">
        <f t="shared" si="18"/>
        <v>800</v>
      </c>
      <c r="O301" s="5">
        <f t="shared" si="19"/>
        <v>190</v>
      </c>
    </row>
    <row r="302" spans="1:15" x14ac:dyDescent="0.3">
      <c r="A302" t="s">
        <v>324</v>
      </c>
      <c r="B302" s="3">
        <v>46362</v>
      </c>
      <c r="C302" t="s">
        <v>229</v>
      </c>
      <c r="D302" t="s">
        <v>22</v>
      </c>
      <c r="E302">
        <v>11</v>
      </c>
      <c r="F302">
        <v>50</v>
      </c>
      <c r="G302">
        <v>0.2</v>
      </c>
      <c r="H302">
        <v>5</v>
      </c>
      <c r="I302" t="s">
        <v>230</v>
      </c>
      <c r="J302" t="s">
        <v>19</v>
      </c>
      <c r="K302">
        <v>40</v>
      </c>
      <c r="L302">
        <f t="shared" si="16"/>
        <v>550</v>
      </c>
      <c r="M302">
        <f t="shared" si="17"/>
        <v>10</v>
      </c>
      <c r="N302">
        <f t="shared" si="18"/>
        <v>440</v>
      </c>
      <c r="O302" s="5">
        <f t="shared" si="19"/>
        <v>105</v>
      </c>
    </row>
    <row r="303" spans="1:15" x14ac:dyDescent="0.3">
      <c r="A303" t="s">
        <v>325</v>
      </c>
      <c r="B303" s="3">
        <v>46108</v>
      </c>
      <c r="C303" t="s">
        <v>229</v>
      </c>
      <c r="D303" t="s">
        <v>22</v>
      </c>
      <c r="E303">
        <v>16</v>
      </c>
      <c r="F303">
        <v>50</v>
      </c>
      <c r="G303">
        <v>0.35</v>
      </c>
      <c r="H303">
        <v>5</v>
      </c>
      <c r="I303" t="s">
        <v>230</v>
      </c>
      <c r="J303" t="s">
        <v>19</v>
      </c>
      <c r="K303">
        <v>40</v>
      </c>
      <c r="L303">
        <f t="shared" si="16"/>
        <v>800</v>
      </c>
      <c r="M303">
        <f t="shared" si="17"/>
        <v>17.5</v>
      </c>
      <c r="N303">
        <f t="shared" si="18"/>
        <v>640</v>
      </c>
      <c r="O303" s="5">
        <f t="shared" si="19"/>
        <v>155</v>
      </c>
    </row>
    <row r="304" spans="1:15" x14ac:dyDescent="0.3">
      <c r="A304" t="s">
        <v>326</v>
      </c>
      <c r="B304" s="3">
        <v>46062</v>
      </c>
      <c r="C304" t="s">
        <v>229</v>
      </c>
      <c r="D304" t="s">
        <v>24</v>
      </c>
      <c r="E304">
        <v>24</v>
      </c>
      <c r="F304">
        <v>50</v>
      </c>
      <c r="G304">
        <v>0.35</v>
      </c>
      <c r="H304">
        <v>10</v>
      </c>
      <c r="I304" t="s">
        <v>230</v>
      </c>
      <c r="J304" t="s">
        <v>19</v>
      </c>
      <c r="K304">
        <v>40</v>
      </c>
      <c r="L304">
        <f t="shared" si="16"/>
        <v>1200</v>
      </c>
      <c r="M304">
        <f t="shared" si="17"/>
        <v>17.5</v>
      </c>
      <c r="N304">
        <f t="shared" si="18"/>
        <v>960</v>
      </c>
      <c r="O304" s="5">
        <f t="shared" si="19"/>
        <v>230</v>
      </c>
    </row>
    <row r="305" spans="1:15" x14ac:dyDescent="0.3">
      <c r="A305" t="s">
        <v>327</v>
      </c>
      <c r="B305" s="3">
        <v>46260</v>
      </c>
      <c r="C305" t="s">
        <v>229</v>
      </c>
      <c r="D305" t="s">
        <v>24</v>
      </c>
      <c r="E305">
        <v>5</v>
      </c>
      <c r="F305">
        <v>50</v>
      </c>
      <c r="G305">
        <v>0.2</v>
      </c>
      <c r="H305">
        <v>15</v>
      </c>
      <c r="I305" t="s">
        <v>230</v>
      </c>
      <c r="J305" t="s">
        <v>19</v>
      </c>
      <c r="K305">
        <v>40</v>
      </c>
      <c r="L305">
        <f t="shared" si="16"/>
        <v>250</v>
      </c>
      <c r="M305">
        <f t="shared" si="17"/>
        <v>10</v>
      </c>
      <c r="N305">
        <f t="shared" si="18"/>
        <v>200</v>
      </c>
      <c r="O305" s="5">
        <f t="shared" si="19"/>
        <v>35</v>
      </c>
    </row>
    <row r="306" spans="1:15" x14ac:dyDescent="0.3">
      <c r="A306" t="s">
        <v>328</v>
      </c>
      <c r="B306" s="3">
        <v>46172</v>
      </c>
      <c r="C306" t="s">
        <v>229</v>
      </c>
      <c r="D306" t="s">
        <v>17</v>
      </c>
      <c r="E306">
        <v>10</v>
      </c>
      <c r="F306">
        <v>50</v>
      </c>
      <c r="G306">
        <v>0.2</v>
      </c>
      <c r="H306">
        <v>20</v>
      </c>
      <c r="I306" t="s">
        <v>230</v>
      </c>
      <c r="J306" t="s">
        <v>19</v>
      </c>
      <c r="K306">
        <v>40</v>
      </c>
      <c r="L306">
        <f t="shared" si="16"/>
        <v>500</v>
      </c>
      <c r="M306">
        <f t="shared" si="17"/>
        <v>10</v>
      </c>
      <c r="N306">
        <f t="shared" si="18"/>
        <v>400</v>
      </c>
      <c r="O306" s="5">
        <f t="shared" si="19"/>
        <v>80</v>
      </c>
    </row>
    <row r="307" spans="1:15" x14ac:dyDescent="0.3">
      <c r="A307" t="s">
        <v>329</v>
      </c>
      <c r="B307" s="3">
        <v>46059</v>
      </c>
      <c r="C307" t="s">
        <v>229</v>
      </c>
      <c r="D307" t="s">
        <v>17</v>
      </c>
      <c r="E307">
        <v>3</v>
      </c>
      <c r="F307">
        <v>50</v>
      </c>
      <c r="G307">
        <v>0.2</v>
      </c>
      <c r="H307">
        <v>20</v>
      </c>
      <c r="I307" t="s">
        <v>230</v>
      </c>
      <c r="J307" t="s">
        <v>19</v>
      </c>
      <c r="K307">
        <v>40</v>
      </c>
      <c r="L307">
        <f t="shared" si="16"/>
        <v>150</v>
      </c>
      <c r="M307">
        <f t="shared" si="17"/>
        <v>10</v>
      </c>
      <c r="N307">
        <f t="shared" si="18"/>
        <v>120</v>
      </c>
      <c r="O307" s="5">
        <f t="shared" si="19"/>
        <v>10</v>
      </c>
    </row>
    <row r="308" spans="1:15" x14ac:dyDescent="0.3">
      <c r="A308" t="s">
        <v>330</v>
      </c>
      <c r="B308" s="3">
        <v>46378</v>
      </c>
      <c r="C308" t="s">
        <v>229</v>
      </c>
      <c r="D308" t="s">
        <v>34</v>
      </c>
      <c r="E308">
        <v>20</v>
      </c>
      <c r="F308">
        <v>50</v>
      </c>
      <c r="G308">
        <v>0.35</v>
      </c>
      <c r="H308">
        <v>15</v>
      </c>
      <c r="I308" t="s">
        <v>230</v>
      </c>
      <c r="J308" t="s">
        <v>19</v>
      </c>
      <c r="K308">
        <v>40</v>
      </c>
      <c r="L308">
        <f t="shared" si="16"/>
        <v>1000</v>
      </c>
      <c r="M308">
        <f t="shared" si="17"/>
        <v>17.5</v>
      </c>
      <c r="N308">
        <f t="shared" si="18"/>
        <v>800</v>
      </c>
      <c r="O308" s="5">
        <f t="shared" si="19"/>
        <v>185</v>
      </c>
    </row>
    <row r="309" spans="1:15" x14ac:dyDescent="0.3">
      <c r="A309" t="s">
        <v>331</v>
      </c>
      <c r="B309" s="3">
        <v>46163</v>
      </c>
      <c r="C309" t="s">
        <v>229</v>
      </c>
      <c r="D309" t="s">
        <v>22</v>
      </c>
      <c r="E309">
        <v>15</v>
      </c>
      <c r="F309">
        <v>50</v>
      </c>
      <c r="G309">
        <v>0.2</v>
      </c>
      <c r="H309">
        <v>10</v>
      </c>
      <c r="I309" t="s">
        <v>230</v>
      </c>
      <c r="J309" t="s">
        <v>19</v>
      </c>
      <c r="K309">
        <v>40</v>
      </c>
      <c r="L309">
        <f t="shared" si="16"/>
        <v>750</v>
      </c>
      <c r="M309">
        <f t="shared" si="17"/>
        <v>10</v>
      </c>
      <c r="N309">
        <f t="shared" si="18"/>
        <v>600</v>
      </c>
      <c r="O309" s="5">
        <f t="shared" si="19"/>
        <v>140</v>
      </c>
    </row>
    <row r="310" spans="1:15" x14ac:dyDescent="0.3">
      <c r="A310" t="s">
        <v>332</v>
      </c>
      <c r="B310" s="3">
        <v>46333</v>
      </c>
      <c r="C310" t="s">
        <v>229</v>
      </c>
      <c r="D310" t="s">
        <v>22</v>
      </c>
      <c r="E310">
        <v>4</v>
      </c>
      <c r="F310">
        <v>50</v>
      </c>
      <c r="G310">
        <v>0.1</v>
      </c>
      <c r="H310">
        <v>5</v>
      </c>
      <c r="I310" t="s">
        <v>230</v>
      </c>
      <c r="J310" t="s">
        <v>19</v>
      </c>
      <c r="K310">
        <v>40</v>
      </c>
      <c r="L310">
        <f t="shared" si="16"/>
        <v>200</v>
      </c>
      <c r="M310">
        <f t="shared" si="17"/>
        <v>5</v>
      </c>
      <c r="N310">
        <f t="shared" si="18"/>
        <v>160</v>
      </c>
      <c r="O310" s="5">
        <f t="shared" si="19"/>
        <v>35</v>
      </c>
    </row>
    <row r="311" spans="1:15" x14ac:dyDescent="0.3">
      <c r="A311" t="s">
        <v>333</v>
      </c>
      <c r="B311" s="3">
        <v>46303</v>
      </c>
      <c r="C311" t="s">
        <v>229</v>
      </c>
      <c r="D311" t="s">
        <v>17</v>
      </c>
      <c r="E311">
        <v>9</v>
      </c>
      <c r="F311">
        <v>50</v>
      </c>
      <c r="G311">
        <v>0</v>
      </c>
      <c r="H311">
        <v>5</v>
      </c>
      <c r="I311" t="s">
        <v>230</v>
      </c>
      <c r="J311" t="s">
        <v>19</v>
      </c>
      <c r="K311">
        <v>40</v>
      </c>
      <c r="L311">
        <f t="shared" si="16"/>
        <v>450</v>
      </c>
      <c r="M311">
        <f t="shared" si="17"/>
        <v>0</v>
      </c>
      <c r="N311">
        <f t="shared" si="18"/>
        <v>360</v>
      </c>
      <c r="O311" s="5">
        <f t="shared" si="19"/>
        <v>85</v>
      </c>
    </row>
    <row r="312" spans="1:15" x14ac:dyDescent="0.3">
      <c r="A312" t="s">
        <v>334</v>
      </c>
      <c r="B312" s="3">
        <v>46352</v>
      </c>
      <c r="C312" t="s">
        <v>229</v>
      </c>
      <c r="D312" t="s">
        <v>22</v>
      </c>
      <c r="E312">
        <v>4</v>
      </c>
      <c r="F312">
        <v>50</v>
      </c>
      <c r="G312">
        <v>0.35</v>
      </c>
      <c r="H312">
        <v>10</v>
      </c>
      <c r="I312" t="s">
        <v>230</v>
      </c>
      <c r="J312" t="s">
        <v>19</v>
      </c>
      <c r="K312">
        <v>40</v>
      </c>
      <c r="L312">
        <f t="shared" si="16"/>
        <v>200</v>
      </c>
      <c r="M312">
        <f t="shared" si="17"/>
        <v>17.5</v>
      </c>
      <c r="N312">
        <f t="shared" si="18"/>
        <v>160</v>
      </c>
      <c r="O312" s="5">
        <f t="shared" si="19"/>
        <v>30</v>
      </c>
    </row>
    <row r="313" spans="1:15" x14ac:dyDescent="0.3">
      <c r="A313" t="s">
        <v>335</v>
      </c>
      <c r="B313" s="3">
        <v>46366</v>
      </c>
      <c r="C313" t="s">
        <v>229</v>
      </c>
      <c r="D313" t="s">
        <v>22</v>
      </c>
      <c r="E313">
        <v>11</v>
      </c>
      <c r="F313">
        <v>50</v>
      </c>
      <c r="G313">
        <v>0</v>
      </c>
      <c r="H313">
        <v>5</v>
      </c>
      <c r="I313" t="s">
        <v>230</v>
      </c>
      <c r="J313" t="s">
        <v>19</v>
      </c>
      <c r="K313">
        <v>40</v>
      </c>
      <c r="L313">
        <f t="shared" si="16"/>
        <v>550</v>
      </c>
      <c r="M313">
        <f t="shared" si="17"/>
        <v>0</v>
      </c>
      <c r="N313">
        <f t="shared" si="18"/>
        <v>440</v>
      </c>
      <c r="O313" s="5">
        <f t="shared" si="19"/>
        <v>105</v>
      </c>
    </row>
    <row r="314" spans="1:15" x14ac:dyDescent="0.3">
      <c r="A314" t="s">
        <v>336</v>
      </c>
      <c r="B314" s="3">
        <v>46034</v>
      </c>
      <c r="C314" t="s">
        <v>229</v>
      </c>
      <c r="D314" t="s">
        <v>17</v>
      </c>
      <c r="E314">
        <v>2</v>
      </c>
      <c r="F314">
        <v>50</v>
      </c>
      <c r="G314">
        <v>0.1</v>
      </c>
      <c r="H314">
        <v>15</v>
      </c>
      <c r="I314" t="s">
        <v>230</v>
      </c>
      <c r="J314" t="s">
        <v>19</v>
      </c>
      <c r="K314">
        <v>40</v>
      </c>
      <c r="L314">
        <f t="shared" si="16"/>
        <v>100</v>
      </c>
      <c r="M314">
        <f t="shared" si="17"/>
        <v>5</v>
      </c>
      <c r="N314">
        <f t="shared" si="18"/>
        <v>80</v>
      </c>
      <c r="O314" s="5">
        <f t="shared" si="19"/>
        <v>5</v>
      </c>
    </row>
    <row r="315" spans="1:15" x14ac:dyDescent="0.3">
      <c r="A315" t="s">
        <v>337</v>
      </c>
      <c r="B315" s="3">
        <v>46305</v>
      </c>
      <c r="C315" t="s">
        <v>229</v>
      </c>
      <c r="D315" t="s">
        <v>34</v>
      </c>
      <c r="E315">
        <v>20</v>
      </c>
      <c r="F315">
        <v>50</v>
      </c>
      <c r="G315">
        <v>0.35</v>
      </c>
      <c r="H315">
        <v>20</v>
      </c>
      <c r="I315" t="s">
        <v>230</v>
      </c>
      <c r="J315" t="s">
        <v>19</v>
      </c>
      <c r="K315">
        <v>40</v>
      </c>
      <c r="L315">
        <f t="shared" si="16"/>
        <v>1000</v>
      </c>
      <c r="M315">
        <f t="shared" si="17"/>
        <v>17.5</v>
      </c>
      <c r="N315">
        <f t="shared" si="18"/>
        <v>800</v>
      </c>
      <c r="O315" s="5">
        <f t="shared" si="19"/>
        <v>180</v>
      </c>
    </row>
    <row r="316" spans="1:15" x14ac:dyDescent="0.3">
      <c r="A316" t="s">
        <v>338</v>
      </c>
      <c r="B316" s="3">
        <v>46295</v>
      </c>
      <c r="C316" t="s">
        <v>229</v>
      </c>
      <c r="D316" t="s">
        <v>24</v>
      </c>
      <c r="E316">
        <v>3</v>
      </c>
      <c r="F316">
        <v>50</v>
      </c>
      <c r="G316">
        <v>0.2</v>
      </c>
      <c r="H316">
        <v>15</v>
      </c>
      <c r="I316" t="s">
        <v>230</v>
      </c>
      <c r="J316" t="s">
        <v>19</v>
      </c>
      <c r="K316">
        <v>40</v>
      </c>
      <c r="L316">
        <f t="shared" si="16"/>
        <v>150</v>
      </c>
      <c r="M316">
        <f t="shared" si="17"/>
        <v>10</v>
      </c>
      <c r="N316">
        <f t="shared" si="18"/>
        <v>120</v>
      </c>
      <c r="O316" s="5">
        <f t="shared" si="19"/>
        <v>15</v>
      </c>
    </row>
    <row r="317" spans="1:15" x14ac:dyDescent="0.3">
      <c r="A317" t="s">
        <v>339</v>
      </c>
      <c r="B317" s="3">
        <v>46201</v>
      </c>
      <c r="C317" t="s">
        <v>229</v>
      </c>
      <c r="D317" t="s">
        <v>24</v>
      </c>
      <c r="E317">
        <v>4</v>
      </c>
      <c r="F317">
        <v>50</v>
      </c>
      <c r="G317">
        <v>0.35</v>
      </c>
      <c r="H317">
        <v>10</v>
      </c>
      <c r="I317" t="s">
        <v>230</v>
      </c>
      <c r="J317" t="s">
        <v>19</v>
      </c>
      <c r="K317">
        <v>40</v>
      </c>
      <c r="L317">
        <f t="shared" si="16"/>
        <v>200</v>
      </c>
      <c r="M317">
        <f t="shared" si="17"/>
        <v>17.5</v>
      </c>
      <c r="N317">
        <f t="shared" si="18"/>
        <v>160</v>
      </c>
      <c r="O317" s="5">
        <f t="shared" si="19"/>
        <v>30</v>
      </c>
    </row>
    <row r="318" spans="1:15" x14ac:dyDescent="0.3">
      <c r="A318" t="s">
        <v>340</v>
      </c>
      <c r="B318" s="3">
        <v>46365</v>
      </c>
      <c r="C318" t="s">
        <v>229</v>
      </c>
      <c r="D318" t="s">
        <v>22</v>
      </c>
      <c r="E318">
        <v>11</v>
      </c>
      <c r="F318">
        <v>50</v>
      </c>
      <c r="G318">
        <v>0</v>
      </c>
      <c r="H318">
        <v>15</v>
      </c>
      <c r="I318" t="s">
        <v>230</v>
      </c>
      <c r="J318" t="s">
        <v>19</v>
      </c>
      <c r="K318">
        <v>40</v>
      </c>
      <c r="L318">
        <f t="shared" si="16"/>
        <v>550</v>
      </c>
      <c r="M318">
        <f t="shared" si="17"/>
        <v>0</v>
      </c>
      <c r="N318">
        <f t="shared" si="18"/>
        <v>440</v>
      </c>
      <c r="O318" s="5">
        <f t="shared" si="19"/>
        <v>95</v>
      </c>
    </row>
    <row r="319" spans="1:15" x14ac:dyDescent="0.3">
      <c r="A319" t="s">
        <v>341</v>
      </c>
      <c r="B319" s="3">
        <v>46110</v>
      </c>
      <c r="C319" t="s">
        <v>229</v>
      </c>
      <c r="D319" t="s">
        <v>22</v>
      </c>
      <c r="E319">
        <v>11</v>
      </c>
      <c r="F319">
        <v>50</v>
      </c>
      <c r="G319">
        <v>0.1</v>
      </c>
      <c r="H319">
        <v>20</v>
      </c>
      <c r="I319" t="s">
        <v>230</v>
      </c>
      <c r="J319" t="s">
        <v>19</v>
      </c>
      <c r="K319">
        <v>40</v>
      </c>
      <c r="L319">
        <f t="shared" si="16"/>
        <v>550</v>
      </c>
      <c r="M319">
        <f t="shared" si="17"/>
        <v>5</v>
      </c>
      <c r="N319">
        <f t="shared" si="18"/>
        <v>440</v>
      </c>
      <c r="O319" s="5">
        <f t="shared" si="19"/>
        <v>90</v>
      </c>
    </row>
    <row r="320" spans="1:15" x14ac:dyDescent="0.3">
      <c r="A320" t="s">
        <v>342</v>
      </c>
      <c r="B320" s="3">
        <v>46117</v>
      </c>
      <c r="C320" t="s">
        <v>229</v>
      </c>
      <c r="D320" t="s">
        <v>17</v>
      </c>
      <c r="E320">
        <v>20</v>
      </c>
      <c r="F320">
        <v>50</v>
      </c>
      <c r="G320">
        <v>0.1</v>
      </c>
      <c r="H320">
        <v>20</v>
      </c>
      <c r="I320" t="s">
        <v>230</v>
      </c>
      <c r="J320" t="s">
        <v>19</v>
      </c>
      <c r="K320">
        <v>40</v>
      </c>
      <c r="L320">
        <f t="shared" si="16"/>
        <v>1000</v>
      </c>
      <c r="M320">
        <f t="shared" si="17"/>
        <v>5</v>
      </c>
      <c r="N320">
        <f t="shared" si="18"/>
        <v>800</v>
      </c>
      <c r="O320" s="5">
        <f t="shared" si="19"/>
        <v>180</v>
      </c>
    </row>
    <row r="321" spans="1:15" x14ac:dyDescent="0.3">
      <c r="A321" t="s">
        <v>343</v>
      </c>
      <c r="B321" s="3">
        <v>46032</v>
      </c>
      <c r="C321" t="s">
        <v>229</v>
      </c>
      <c r="D321" t="s">
        <v>24</v>
      </c>
      <c r="E321">
        <v>15</v>
      </c>
      <c r="F321">
        <v>50</v>
      </c>
      <c r="G321">
        <v>0</v>
      </c>
      <c r="H321">
        <v>10</v>
      </c>
      <c r="I321" t="s">
        <v>230</v>
      </c>
      <c r="J321" t="s">
        <v>19</v>
      </c>
      <c r="K321">
        <v>40</v>
      </c>
      <c r="L321">
        <f t="shared" si="16"/>
        <v>750</v>
      </c>
      <c r="M321">
        <f t="shared" si="17"/>
        <v>0</v>
      </c>
      <c r="N321">
        <f t="shared" si="18"/>
        <v>600</v>
      </c>
      <c r="O321" s="5">
        <f t="shared" si="19"/>
        <v>140</v>
      </c>
    </row>
    <row r="322" spans="1:15" x14ac:dyDescent="0.3">
      <c r="A322" t="s">
        <v>344</v>
      </c>
      <c r="B322" s="3">
        <v>46117</v>
      </c>
      <c r="C322" t="s">
        <v>229</v>
      </c>
      <c r="D322" t="s">
        <v>22</v>
      </c>
      <c r="E322">
        <v>9</v>
      </c>
      <c r="F322">
        <v>50</v>
      </c>
      <c r="G322">
        <v>0</v>
      </c>
      <c r="H322">
        <v>15</v>
      </c>
      <c r="I322" t="s">
        <v>230</v>
      </c>
      <c r="J322" t="s">
        <v>19</v>
      </c>
      <c r="K322">
        <v>40</v>
      </c>
      <c r="L322">
        <f t="shared" ref="L322:L385" si="20">E322*F322</f>
        <v>450</v>
      </c>
      <c r="M322">
        <f t="shared" ref="M322:M385" si="21">F322*G322</f>
        <v>0</v>
      </c>
      <c r="N322">
        <f t="shared" ref="N322:N385" si="22">E322*K322</f>
        <v>360</v>
      </c>
      <c r="O322" s="5">
        <f t="shared" ref="O322:O385" si="23">L322-H322-N322</f>
        <v>75</v>
      </c>
    </row>
    <row r="323" spans="1:15" x14ac:dyDescent="0.3">
      <c r="A323" t="s">
        <v>345</v>
      </c>
      <c r="B323" s="3">
        <v>46282</v>
      </c>
      <c r="C323" t="s">
        <v>229</v>
      </c>
      <c r="D323" t="s">
        <v>17</v>
      </c>
      <c r="E323">
        <v>14</v>
      </c>
      <c r="F323">
        <v>50</v>
      </c>
      <c r="G323">
        <v>0.35</v>
      </c>
      <c r="H323">
        <v>15</v>
      </c>
      <c r="I323" t="s">
        <v>230</v>
      </c>
      <c r="J323" t="s">
        <v>19</v>
      </c>
      <c r="K323">
        <v>40</v>
      </c>
      <c r="L323">
        <f t="shared" si="20"/>
        <v>700</v>
      </c>
      <c r="M323">
        <f t="shared" si="21"/>
        <v>17.5</v>
      </c>
      <c r="N323">
        <f t="shared" si="22"/>
        <v>560</v>
      </c>
      <c r="O323" s="5">
        <f t="shared" si="23"/>
        <v>125</v>
      </c>
    </row>
    <row r="324" spans="1:15" x14ac:dyDescent="0.3">
      <c r="A324" t="s">
        <v>346</v>
      </c>
      <c r="B324" s="3">
        <v>46317</v>
      </c>
      <c r="C324" t="s">
        <v>229</v>
      </c>
      <c r="D324" t="s">
        <v>22</v>
      </c>
      <c r="E324">
        <v>4</v>
      </c>
      <c r="F324">
        <v>50</v>
      </c>
      <c r="G324">
        <v>0.2</v>
      </c>
      <c r="H324">
        <v>5</v>
      </c>
      <c r="I324" t="s">
        <v>230</v>
      </c>
      <c r="J324" t="s">
        <v>19</v>
      </c>
      <c r="K324">
        <v>40</v>
      </c>
      <c r="L324">
        <f t="shared" si="20"/>
        <v>200</v>
      </c>
      <c r="M324">
        <f t="shared" si="21"/>
        <v>10</v>
      </c>
      <c r="N324">
        <f t="shared" si="22"/>
        <v>160</v>
      </c>
      <c r="O324" s="5">
        <f t="shared" si="23"/>
        <v>35</v>
      </c>
    </row>
    <row r="325" spans="1:15" x14ac:dyDescent="0.3">
      <c r="A325" t="s">
        <v>347</v>
      </c>
      <c r="B325" s="3">
        <v>46031</v>
      </c>
      <c r="C325" t="s">
        <v>229</v>
      </c>
      <c r="D325" t="s">
        <v>17</v>
      </c>
      <c r="E325">
        <v>16</v>
      </c>
      <c r="F325">
        <v>50</v>
      </c>
      <c r="G325">
        <v>0.1</v>
      </c>
      <c r="H325">
        <v>10</v>
      </c>
      <c r="I325" t="s">
        <v>230</v>
      </c>
      <c r="J325" t="s">
        <v>19</v>
      </c>
      <c r="K325">
        <v>40</v>
      </c>
      <c r="L325">
        <f t="shared" si="20"/>
        <v>800</v>
      </c>
      <c r="M325">
        <f t="shared" si="21"/>
        <v>5</v>
      </c>
      <c r="N325">
        <f t="shared" si="22"/>
        <v>640</v>
      </c>
      <c r="O325" s="5">
        <f t="shared" si="23"/>
        <v>150</v>
      </c>
    </row>
    <row r="326" spans="1:15" x14ac:dyDescent="0.3">
      <c r="A326" t="s">
        <v>348</v>
      </c>
      <c r="B326" s="3">
        <v>46091</v>
      </c>
      <c r="C326" t="s">
        <v>229</v>
      </c>
      <c r="D326" t="s">
        <v>34</v>
      </c>
      <c r="E326">
        <v>9</v>
      </c>
      <c r="F326">
        <v>50</v>
      </c>
      <c r="G326">
        <v>0.2</v>
      </c>
      <c r="H326">
        <v>5</v>
      </c>
      <c r="I326" t="s">
        <v>230</v>
      </c>
      <c r="J326" t="s">
        <v>19</v>
      </c>
      <c r="K326">
        <v>40</v>
      </c>
      <c r="L326">
        <f t="shared" si="20"/>
        <v>450</v>
      </c>
      <c r="M326">
        <f t="shared" si="21"/>
        <v>10</v>
      </c>
      <c r="N326">
        <f t="shared" si="22"/>
        <v>360</v>
      </c>
      <c r="O326" s="5">
        <f t="shared" si="23"/>
        <v>85</v>
      </c>
    </row>
    <row r="327" spans="1:15" x14ac:dyDescent="0.3">
      <c r="A327" t="s">
        <v>349</v>
      </c>
      <c r="B327" s="3">
        <v>46051</v>
      </c>
      <c r="C327" t="s">
        <v>229</v>
      </c>
      <c r="D327" t="s">
        <v>22</v>
      </c>
      <c r="E327">
        <v>23</v>
      </c>
      <c r="F327">
        <v>50</v>
      </c>
      <c r="G327">
        <v>0.1</v>
      </c>
      <c r="H327">
        <v>10</v>
      </c>
      <c r="I327" t="s">
        <v>230</v>
      </c>
      <c r="J327" t="s">
        <v>19</v>
      </c>
      <c r="K327">
        <v>40</v>
      </c>
      <c r="L327">
        <f t="shared" si="20"/>
        <v>1150</v>
      </c>
      <c r="M327">
        <f t="shared" si="21"/>
        <v>5</v>
      </c>
      <c r="N327">
        <f t="shared" si="22"/>
        <v>920</v>
      </c>
      <c r="O327" s="5">
        <f t="shared" si="23"/>
        <v>220</v>
      </c>
    </row>
    <row r="328" spans="1:15" x14ac:dyDescent="0.3">
      <c r="A328" t="s">
        <v>350</v>
      </c>
      <c r="B328" s="3">
        <v>46319</v>
      </c>
      <c r="C328" t="s">
        <v>229</v>
      </c>
      <c r="D328" t="s">
        <v>22</v>
      </c>
      <c r="E328">
        <v>4</v>
      </c>
      <c r="F328">
        <v>50</v>
      </c>
      <c r="G328">
        <v>0.2</v>
      </c>
      <c r="H328">
        <v>15</v>
      </c>
      <c r="I328" t="s">
        <v>230</v>
      </c>
      <c r="J328" t="s">
        <v>19</v>
      </c>
      <c r="K328">
        <v>40</v>
      </c>
      <c r="L328">
        <f t="shared" si="20"/>
        <v>200</v>
      </c>
      <c r="M328">
        <f t="shared" si="21"/>
        <v>10</v>
      </c>
      <c r="N328">
        <f t="shared" si="22"/>
        <v>160</v>
      </c>
      <c r="O328" s="5">
        <f t="shared" si="23"/>
        <v>25</v>
      </c>
    </row>
    <row r="329" spans="1:15" x14ac:dyDescent="0.3">
      <c r="A329" t="s">
        <v>351</v>
      </c>
      <c r="B329" s="3">
        <v>46215</v>
      </c>
      <c r="C329" t="s">
        <v>229</v>
      </c>
      <c r="D329" t="s">
        <v>17</v>
      </c>
      <c r="E329">
        <v>21</v>
      </c>
      <c r="F329">
        <v>50</v>
      </c>
      <c r="G329">
        <v>0.35</v>
      </c>
      <c r="H329">
        <v>20</v>
      </c>
      <c r="I329" t="s">
        <v>230</v>
      </c>
      <c r="J329" t="s">
        <v>19</v>
      </c>
      <c r="K329">
        <v>40</v>
      </c>
      <c r="L329">
        <f t="shared" si="20"/>
        <v>1050</v>
      </c>
      <c r="M329">
        <f t="shared" si="21"/>
        <v>17.5</v>
      </c>
      <c r="N329">
        <f t="shared" si="22"/>
        <v>840</v>
      </c>
      <c r="O329" s="5">
        <f t="shared" si="23"/>
        <v>190</v>
      </c>
    </row>
    <row r="330" spans="1:15" x14ac:dyDescent="0.3">
      <c r="A330" t="s">
        <v>352</v>
      </c>
      <c r="B330" s="3">
        <v>46247</v>
      </c>
      <c r="C330" t="s">
        <v>229</v>
      </c>
      <c r="D330" t="s">
        <v>34</v>
      </c>
      <c r="E330">
        <v>6</v>
      </c>
      <c r="F330">
        <v>50</v>
      </c>
      <c r="G330">
        <v>0.1</v>
      </c>
      <c r="H330">
        <v>10</v>
      </c>
      <c r="I330" t="s">
        <v>230</v>
      </c>
      <c r="J330" t="s">
        <v>19</v>
      </c>
      <c r="K330">
        <v>40</v>
      </c>
      <c r="L330">
        <f t="shared" si="20"/>
        <v>300</v>
      </c>
      <c r="M330">
        <f t="shared" si="21"/>
        <v>5</v>
      </c>
      <c r="N330">
        <f t="shared" si="22"/>
        <v>240</v>
      </c>
      <c r="O330" s="5">
        <f t="shared" si="23"/>
        <v>50</v>
      </c>
    </row>
    <row r="331" spans="1:15" x14ac:dyDescent="0.3">
      <c r="A331" t="s">
        <v>353</v>
      </c>
      <c r="B331" s="3">
        <v>46328</v>
      </c>
      <c r="C331" t="s">
        <v>229</v>
      </c>
      <c r="D331" t="s">
        <v>34</v>
      </c>
      <c r="E331">
        <v>20</v>
      </c>
      <c r="F331">
        <v>50</v>
      </c>
      <c r="G331">
        <v>0.35</v>
      </c>
      <c r="H331">
        <v>20</v>
      </c>
      <c r="I331" t="s">
        <v>230</v>
      </c>
      <c r="J331" t="s">
        <v>19</v>
      </c>
      <c r="K331">
        <v>40</v>
      </c>
      <c r="L331">
        <f t="shared" si="20"/>
        <v>1000</v>
      </c>
      <c r="M331">
        <f t="shared" si="21"/>
        <v>17.5</v>
      </c>
      <c r="N331">
        <f t="shared" si="22"/>
        <v>800</v>
      </c>
      <c r="O331" s="5">
        <f t="shared" si="23"/>
        <v>180</v>
      </c>
    </row>
    <row r="332" spans="1:15" x14ac:dyDescent="0.3">
      <c r="A332" t="s">
        <v>354</v>
      </c>
      <c r="B332" s="3">
        <v>46127</v>
      </c>
      <c r="C332" t="s">
        <v>229</v>
      </c>
      <c r="D332" t="s">
        <v>34</v>
      </c>
      <c r="E332">
        <v>21</v>
      </c>
      <c r="F332">
        <v>50</v>
      </c>
      <c r="G332">
        <v>0</v>
      </c>
      <c r="H332">
        <v>20</v>
      </c>
      <c r="I332" t="s">
        <v>230</v>
      </c>
      <c r="J332" t="s">
        <v>19</v>
      </c>
      <c r="K332">
        <v>40</v>
      </c>
      <c r="L332">
        <f t="shared" si="20"/>
        <v>1050</v>
      </c>
      <c r="M332">
        <f t="shared" si="21"/>
        <v>0</v>
      </c>
      <c r="N332">
        <f t="shared" si="22"/>
        <v>840</v>
      </c>
      <c r="O332" s="5">
        <f t="shared" si="23"/>
        <v>190</v>
      </c>
    </row>
    <row r="333" spans="1:15" x14ac:dyDescent="0.3">
      <c r="A333" t="s">
        <v>355</v>
      </c>
      <c r="B333" s="3">
        <v>46260</v>
      </c>
      <c r="C333" t="s">
        <v>229</v>
      </c>
      <c r="D333" t="s">
        <v>22</v>
      </c>
      <c r="E333">
        <v>10</v>
      </c>
      <c r="F333">
        <v>50</v>
      </c>
      <c r="G333">
        <v>0.2</v>
      </c>
      <c r="H333">
        <v>15</v>
      </c>
      <c r="I333" t="s">
        <v>230</v>
      </c>
      <c r="J333" t="s">
        <v>19</v>
      </c>
      <c r="K333">
        <v>40</v>
      </c>
      <c r="L333">
        <f t="shared" si="20"/>
        <v>500</v>
      </c>
      <c r="M333">
        <f t="shared" si="21"/>
        <v>10</v>
      </c>
      <c r="N333">
        <f t="shared" si="22"/>
        <v>400</v>
      </c>
      <c r="O333" s="5">
        <f t="shared" si="23"/>
        <v>85</v>
      </c>
    </row>
    <row r="334" spans="1:15" x14ac:dyDescent="0.3">
      <c r="A334" t="s">
        <v>356</v>
      </c>
      <c r="B334" s="3">
        <v>46324</v>
      </c>
      <c r="C334" t="s">
        <v>229</v>
      </c>
      <c r="D334" t="s">
        <v>17</v>
      </c>
      <c r="E334">
        <v>3</v>
      </c>
      <c r="F334">
        <v>50</v>
      </c>
      <c r="G334">
        <v>0.35</v>
      </c>
      <c r="H334">
        <v>20</v>
      </c>
      <c r="I334" t="s">
        <v>230</v>
      </c>
      <c r="J334" t="s">
        <v>19</v>
      </c>
      <c r="K334">
        <v>40</v>
      </c>
      <c r="L334">
        <f t="shared" si="20"/>
        <v>150</v>
      </c>
      <c r="M334">
        <f t="shared" si="21"/>
        <v>17.5</v>
      </c>
      <c r="N334">
        <f t="shared" si="22"/>
        <v>120</v>
      </c>
      <c r="O334" s="5">
        <f t="shared" si="23"/>
        <v>10</v>
      </c>
    </row>
    <row r="335" spans="1:15" x14ac:dyDescent="0.3">
      <c r="A335" t="s">
        <v>357</v>
      </c>
      <c r="B335" s="3">
        <v>46353</v>
      </c>
      <c r="C335" t="s">
        <v>229</v>
      </c>
      <c r="D335" t="s">
        <v>22</v>
      </c>
      <c r="E335">
        <v>12</v>
      </c>
      <c r="F335">
        <v>50</v>
      </c>
      <c r="G335">
        <v>0.1</v>
      </c>
      <c r="H335">
        <v>10</v>
      </c>
      <c r="I335" t="s">
        <v>230</v>
      </c>
      <c r="J335" t="s">
        <v>19</v>
      </c>
      <c r="K335">
        <v>40</v>
      </c>
      <c r="L335">
        <f t="shared" si="20"/>
        <v>600</v>
      </c>
      <c r="M335">
        <f t="shared" si="21"/>
        <v>5</v>
      </c>
      <c r="N335">
        <f t="shared" si="22"/>
        <v>480</v>
      </c>
      <c r="O335" s="5">
        <f t="shared" si="23"/>
        <v>110</v>
      </c>
    </row>
    <row r="336" spans="1:15" x14ac:dyDescent="0.3">
      <c r="A336" t="s">
        <v>358</v>
      </c>
      <c r="B336" s="3">
        <v>46043</v>
      </c>
      <c r="C336" t="s">
        <v>229</v>
      </c>
      <c r="D336" t="s">
        <v>22</v>
      </c>
      <c r="E336">
        <v>17</v>
      </c>
      <c r="F336">
        <v>50</v>
      </c>
      <c r="G336">
        <v>0</v>
      </c>
      <c r="H336">
        <v>15</v>
      </c>
      <c r="I336" t="s">
        <v>230</v>
      </c>
      <c r="J336" t="s">
        <v>19</v>
      </c>
      <c r="K336">
        <v>40</v>
      </c>
      <c r="L336">
        <f t="shared" si="20"/>
        <v>850</v>
      </c>
      <c r="M336">
        <f t="shared" si="21"/>
        <v>0</v>
      </c>
      <c r="N336">
        <f t="shared" si="22"/>
        <v>680</v>
      </c>
      <c r="O336" s="5">
        <f t="shared" si="23"/>
        <v>155</v>
      </c>
    </row>
    <row r="337" spans="1:15" x14ac:dyDescent="0.3">
      <c r="A337" t="s">
        <v>359</v>
      </c>
      <c r="B337" s="3">
        <v>46277</v>
      </c>
      <c r="C337" t="s">
        <v>229</v>
      </c>
      <c r="D337" t="s">
        <v>22</v>
      </c>
      <c r="E337">
        <v>17</v>
      </c>
      <c r="F337">
        <v>50</v>
      </c>
      <c r="G337">
        <v>0.1</v>
      </c>
      <c r="H337">
        <v>10</v>
      </c>
      <c r="I337" t="s">
        <v>230</v>
      </c>
      <c r="J337" t="s">
        <v>19</v>
      </c>
      <c r="K337">
        <v>40</v>
      </c>
      <c r="L337">
        <f t="shared" si="20"/>
        <v>850</v>
      </c>
      <c r="M337">
        <f t="shared" si="21"/>
        <v>5</v>
      </c>
      <c r="N337">
        <f t="shared" si="22"/>
        <v>680</v>
      </c>
      <c r="O337" s="5">
        <f t="shared" si="23"/>
        <v>160</v>
      </c>
    </row>
    <row r="338" spans="1:15" x14ac:dyDescent="0.3">
      <c r="A338" t="s">
        <v>360</v>
      </c>
      <c r="B338" s="3">
        <v>46292</v>
      </c>
      <c r="C338" t="s">
        <v>229</v>
      </c>
      <c r="D338" t="s">
        <v>17</v>
      </c>
      <c r="E338">
        <v>23</v>
      </c>
      <c r="F338">
        <v>50</v>
      </c>
      <c r="G338">
        <v>0</v>
      </c>
      <c r="H338">
        <v>20</v>
      </c>
      <c r="I338" t="s">
        <v>230</v>
      </c>
      <c r="J338" t="s">
        <v>19</v>
      </c>
      <c r="K338">
        <v>40</v>
      </c>
      <c r="L338">
        <f t="shared" si="20"/>
        <v>1150</v>
      </c>
      <c r="M338">
        <f t="shared" si="21"/>
        <v>0</v>
      </c>
      <c r="N338">
        <f t="shared" si="22"/>
        <v>920</v>
      </c>
      <c r="O338" s="5">
        <f t="shared" si="23"/>
        <v>210</v>
      </c>
    </row>
    <row r="339" spans="1:15" x14ac:dyDescent="0.3">
      <c r="A339" t="s">
        <v>361</v>
      </c>
      <c r="B339" s="3">
        <v>46290</v>
      </c>
      <c r="C339" t="s">
        <v>229</v>
      </c>
      <c r="D339" t="s">
        <v>22</v>
      </c>
      <c r="E339">
        <v>24</v>
      </c>
      <c r="F339">
        <v>50</v>
      </c>
      <c r="G339">
        <v>0</v>
      </c>
      <c r="H339">
        <v>5</v>
      </c>
      <c r="I339" t="s">
        <v>230</v>
      </c>
      <c r="J339" t="s">
        <v>19</v>
      </c>
      <c r="K339">
        <v>40</v>
      </c>
      <c r="L339">
        <f t="shared" si="20"/>
        <v>1200</v>
      </c>
      <c r="M339">
        <f t="shared" si="21"/>
        <v>0</v>
      </c>
      <c r="N339">
        <f t="shared" si="22"/>
        <v>960</v>
      </c>
      <c r="O339" s="5">
        <f t="shared" si="23"/>
        <v>235</v>
      </c>
    </row>
    <row r="340" spans="1:15" x14ac:dyDescent="0.3">
      <c r="A340" t="s">
        <v>362</v>
      </c>
      <c r="B340" s="3">
        <v>46175</v>
      </c>
      <c r="C340" t="s">
        <v>229</v>
      </c>
      <c r="D340" t="s">
        <v>34</v>
      </c>
      <c r="E340">
        <v>14</v>
      </c>
      <c r="F340">
        <v>50</v>
      </c>
      <c r="G340">
        <v>0.1</v>
      </c>
      <c r="H340">
        <v>15</v>
      </c>
      <c r="I340" t="s">
        <v>230</v>
      </c>
      <c r="J340" t="s">
        <v>19</v>
      </c>
      <c r="K340">
        <v>40</v>
      </c>
      <c r="L340">
        <f t="shared" si="20"/>
        <v>700</v>
      </c>
      <c r="M340">
        <f t="shared" si="21"/>
        <v>5</v>
      </c>
      <c r="N340">
        <f t="shared" si="22"/>
        <v>560</v>
      </c>
      <c r="O340" s="5">
        <f t="shared" si="23"/>
        <v>125</v>
      </c>
    </row>
    <row r="341" spans="1:15" x14ac:dyDescent="0.3">
      <c r="A341" t="s">
        <v>363</v>
      </c>
      <c r="B341" s="3">
        <v>46340</v>
      </c>
      <c r="C341" t="s">
        <v>229</v>
      </c>
      <c r="D341" t="s">
        <v>24</v>
      </c>
      <c r="E341">
        <v>22</v>
      </c>
      <c r="F341">
        <v>50</v>
      </c>
      <c r="G341">
        <v>0.2</v>
      </c>
      <c r="H341">
        <v>15</v>
      </c>
      <c r="I341" t="s">
        <v>230</v>
      </c>
      <c r="J341" t="s">
        <v>19</v>
      </c>
      <c r="K341">
        <v>40</v>
      </c>
      <c r="L341">
        <f t="shared" si="20"/>
        <v>1100</v>
      </c>
      <c r="M341">
        <f t="shared" si="21"/>
        <v>10</v>
      </c>
      <c r="N341">
        <f t="shared" si="22"/>
        <v>880</v>
      </c>
      <c r="O341" s="5">
        <f t="shared" si="23"/>
        <v>205</v>
      </c>
    </row>
    <row r="342" spans="1:15" x14ac:dyDescent="0.3">
      <c r="A342" t="s">
        <v>364</v>
      </c>
      <c r="B342" s="3">
        <v>46387</v>
      </c>
      <c r="C342" t="s">
        <v>229</v>
      </c>
      <c r="D342" t="s">
        <v>17</v>
      </c>
      <c r="E342">
        <v>19</v>
      </c>
      <c r="F342">
        <v>50</v>
      </c>
      <c r="G342">
        <v>0</v>
      </c>
      <c r="H342">
        <v>15</v>
      </c>
      <c r="I342" t="s">
        <v>230</v>
      </c>
      <c r="J342" t="s">
        <v>19</v>
      </c>
      <c r="K342">
        <v>40</v>
      </c>
      <c r="L342">
        <f t="shared" si="20"/>
        <v>950</v>
      </c>
      <c r="M342">
        <f t="shared" si="21"/>
        <v>0</v>
      </c>
      <c r="N342">
        <f t="shared" si="22"/>
        <v>760</v>
      </c>
      <c r="O342" s="5">
        <f t="shared" si="23"/>
        <v>175</v>
      </c>
    </row>
    <row r="343" spans="1:15" x14ac:dyDescent="0.3">
      <c r="A343" t="s">
        <v>365</v>
      </c>
      <c r="B343" s="3">
        <v>46184</v>
      </c>
      <c r="C343" t="s">
        <v>229</v>
      </c>
      <c r="D343" t="s">
        <v>24</v>
      </c>
      <c r="E343">
        <v>9</v>
      </c>
      <c r="F343">
        <v>50</v>
      </c>
      <c r="G343">
        <v>0.35</v>
      </c>
      <c r="H343">
        <v>20</v>
      </c>
      <c r="I343" t="s">
        <v>230</v>
      </c>
      <c r="J343" t="s">
        <v>19</v>
      </c>
      <c r="K343">
        <v>40</v>
      </c>
      <c r="L343">
        <f t="shared" si="20"/>
        <v>450</v>
      </c>
      <c r="M343">
        <f t="shared" si="21"/>
        <v>17.5</v>
      </c>
      <c r="N343">
        <f t="shared" si="22"/>
        <v>360</v>
      </c>
      <c r="O343" s="5">
        <f t="shared" si="23"/>
        <v>70</v>
      </c>
    </row>
    <row r="344" spans="1:15" x14ac:dyDescent="0.3">
      <c r="A344" t="s">
        <v>366</v>
      </c>
      <c r="B344" s="3">
        <v>46362</v>
      </c>
      <c r="C344" t="s">
        <v>229</v>
      </c>
      <c r="D344" t="s">
        <v>24</v>
      </c>
      <c r="E344">
        <v>15</v>
      </c>
      <c r="F344">
        <v>50</v>
      </c>
      <c r="G344">
        <v>0.1</v>
      </c>
      <c r="H344">
        <v>5</v>
      </c>
      <c r="I344" t="s">
        <v>230</v>
      </c>
      <c r="J344" t="s">
        <v>19</v>
      </c>
      <c r="K344">
        <v>40</v>
      </c>
      <c r="L344">
        <f t="shared" si="20"/>
        <v>750</v>
      </c>
      <c r="M344">
        <f t="shared" si="21"/>
        <v>5</v>
      </c>
      <c r="N344">
        <f t="shared" si="22"/>
        <v>600</v>
      </c>
      <c r="O344" s="5">
        <f t="shared" si="23"/>
        <v>145</v>
      </c>
    </row>
    <row r="345" spans="1:15" x14ac:dyDescent="0.3">
      <c r="A345" t="s">
        <v>367</v>
      </c>
      <c r="B345" s="3">
        <v>46077</v>
      </c>
      <c r="C345" t="s">
        <v>229</v>
      </c>
      <c r="D345" t="s">
        <v>34</v>
      </c>
      <c r="E345">
        <v>2</v>
      </c>
      <c r="F345">
        <v>50</v>
      </c>
      <c r="G345">
        <v>0.2</v>
      </c>
      <c r="H345">
        <v>5</v>
      </c>
      <c r="I345" t="s">
        <v>230</v>
      </c>
      <c r="J345" t="s">
        <v>19</v>
      </c>
      <c r="K345">
        <v>40</v>
      </c>
      <c r="L345">
        <f t="shared" si="20"/>
        <v>100</v>
      </c>
      <c r="M345">
        <f t="shared" si="21"/>
        <v>10</v>
      </c>
      <c r="N345">
        <f t="shared" si="22"/>
        <v>80</v>
      </c>
      <c r="O345" s="5">
        <f t="shared" si="23"/>
        <v>15</v>
      </c>
    </row>
    <row r="346" spans="1:15" x14ac:dyDescent="0.3">
      <c r="A346" t="s">
        <v>368</v>
      </c>
      <c r="B346" s="3">
        <v>46126</v>
      </c>
      <c r="C346" t="s">
        <v>229</v>
      </c>
      <c r="D346" t="s">
        <v>24</v>
      </c>
      <c r="E346">
        <v>15</v>
      </c>
      <c r="F346">
        <v>50</v>
      </c>
      <c r="G346">
        <v>0.2</v>
      </c>
      <c r="H346">
        <v>5</v>
      </c>
      <c r="I346" t="s">
        <v>230</v>
      </c>
      <c r="J346" t="s">
        <v>19</v>
      </c>
      <c r="K346">
        <v>40</v>
      </c>
      <c r="L346">
        <f t="shared" si="20"/>
        <v>750</v>
      </c>
      <c r="M346">
        <f t="shared" si="21"/>
        <v>10</v>
      </c>
      <c r="N346">
        <f t="shared" si="22"/>
        <v>600</v>
      </c>
      <c r="O346" s="5">
        <f t="shared" si="23"/>
        <v>145</v>
      </c>
    </row>
    <row r="347" spans="1:15" x14ac:dyDescent="0.3">
      <c r="A347" t="s">
        <v>369</v>
      </c>
      <c r="B347" s="3">
        <v>46068</v>
      </c>
      <c r="C347" t="s">
        <v>229</v>
      </c>
      <c r="D347" t="s">
        <v>24</v>
      </c>
      <c r="E347">
        <v>20</v>
      </c>
      <c r="F347">
        <v>50</v>
      </c>
      <c r="G347">
        <v>0</v>
      </c>
      <c r="H347">
        <v>15</v>
      </c>
      <c r="I347" t="s">
        <v>230</v>
      </c>
      <c r="J347" t="s">
        <v>19</v>
      </c>
      <c r="K347">
        <v>40</v>
      </c>
      <c r="L347">
        <f t="shared" si="20"/>
        <v>1000</v>
      </c>
      <c r="M347">
        <f t="shared" si="21"/>
        <v>0</v>
      </c>
      <c r="N347">
        <f t="shared" si="22"/>
        <v>800</v>
      </c>
      <c r="O347" s="5">
        <f t="shared" si="23"/>
        <v>185</v>
      </c>
    </row>
    <row r="348" spans="1:15" x14ac:dyDescent="0.3">
      <c r="A348" t="s">
        <v>370</v>
      </c>
      <c r="B348" s="3">
        <v>46125</v>
      </c>
      <c r="C348" t="s">
        <v>229</v>
      </c>
      <c r="D348" t="s">
        <v>34</v>
      </c>
      <c r="E348">
        <v>18</v>
      </c>
      <c r="F348">
        <v>50</v>
      </c>
      <c r="G348">
        <v>0.35</v>
      </c>
      <c r="H348">
        <v>20</v>
      </c>
      <c r="I348" t="s">
        <v>230</v>
      </c>
      <c r="J348" t="s">
        <v>19</v>
      </c>
      <c r="K348">
        <v>40</v>
      </c>
      <c r="L348">
        <f t="shared" si="20"/>
        <v>900</v>
      </c>
      <c r="M348">
        <f t="shared" si="21"/>
        <v>17.5</v>
      </c>
      <c r="N348">
        <f t="shared" si="22"/>
        <v>720</v>
      </c>
      <c r="O348" s="5">
        <f t="shared" si="23"/>
        <v>160</v>
      </c>
    </row>
    <row r="349" spans="1:15" x14ac:dyDescent="0.3">
      <c r="A349" t="s">
        <v>371</v>
      </c>
      <c r="B349" s="3">
        <v>46243</v>
      </c>
      <c r="C349" t="s">
        <v>229</v>
      </c>
      <c r="D349" t="s">
        <v>34</v>
      </c>
      <c r="E349">
        <v>14</v>
      </c>
      <c r="F349">
        <v>50</v>
      </c>
      <c r="G349">
        <v>0.2</v>
      </c>
      <c r="H349">
        <v>10</v>
      </c>
      <c r="I349" t="s">
        <v>230</v>
      </c>
      <c r="J349" t="s">
        <v>19</v>
      </c>
      <c r="K349">
        <v>40</v>
      </c>
      <c r="L349">
        <f t="shared" si="20"/>
        <v>700</v>
      </c>
      <c r="M349">
        <f t="shared" si="21"/>
        <v>10</v>
      </c>
      <c r="N349">
        <f t="shared" si="22"/>
        <v>560</v>
      </c>
      <c r="O349" s="5">
        <f t="shared" si="23"/>
        <v>130</v>
      </c>
    </row>
    <row r="350" spans="1:15" x14ac:dyDescent="0.3">
      <c r="A350" t="s">
        <v>372</v>
      </c>
      <c r="B350" s="3">
        <v>46097</v>
      </c>
      <c r="C350" t="s">
        <v>229</v>
      </c>
      <c r="D350" t="s">
        <v>22</v>
      </c>
      <c r="E350">
        <v>10</v>
      </c>
      <c r="F350">
        <v>50</v>
      </c>
      <c r="G350">
        <v>0.2</v>
      </c>
      <c r="H350">
        <v>20</v>
      </c>
      <c r="I350" t="s">
        <v>230</v>
      </c>
      <c r="J350" t="s">
        <v>19</v>
      </c>
      <c r="K350">
        <v>40</v>
      </c>
      <c r="L350">
        <f t="shared" si="20"/>
        <v>500</v>
      </c>
      <c r="M350">
        <f t="shared" si="21"/>
        <v>10</v>
      </c>
      <c r="N350">
        <f t="shared" si="22"/>
        <v>400</v>
      </c>
      <c r="O350" s="5">
        <f t="shared" si="23"/>
        <v>80</v>
      </c>
    </row>
    <row r="351" spans="1:15" x14ac:dyDescent="0.3">
      <c r="A351" t="s">
        <v>373</v>
      </c>
      <c r="B351" s="3">
        <v>46376</v>
      </c>
      <c r="C351" t="s">
        <v>229</v>
      </c>
      <c r="D351" t="s">
        <v>24</v>
      </c>
      <c r="E351">
        <v>5</v>
      </c>
      <c r="F351">
        <v>50</v>
      </c>
      <c r="G351">
        <v>0.2</v>
      </c>
      <c r="H351">
        <v>10</v>
      </c>
      <c r="I351" t="s">
        <v>230</v>
      </c>
      <c r="J351" t="s">
        <v>19</v>
      </c>
      <c r="K351">
        <v>40</v>
      </c>
      <c r="L351">
        <f t="shared" si="20"/>
        <v>250</v>
      </c>
      <c r="M351">
        <f t="shared" si="21"/>
        <v>10</v>
      </c>
      <c r="N351">
        <f t="shared" si="22"/>
        <v>200</v>
      </c>
      <c r="O351" s="5">
        <f t="shared" si="23"/>
        <v>40</v>
      </c>
    </row>
    <row r="352" spans="1:15" x14ac:dyDescent="0.3">
      <c r="A352" t="s">
        <v>374</v>
      </c>
      <c r="B352" s="3">
        <v>46179</v>
      </c>
      <c r="C352" t="s">
        <v>229</v>
      </c>
      <c r="D352" t="s">
        <v>34</v>
      </c>
      <c r="E352">
        <v>6</v>
      </c>
      <c r="F352">
        <v>50</v>
      </c>
      <c r="G352">
        <v>0.2</v>
      </c>
      <c r="H352">
        <v>5</v>
      </c>
      <c r="I352" t="s">
        <v>230</v>
      </c>
      <c r="J352" t="s">
        <v>19</v>
      </c>
      <c r="K352">
        <v>40</v>
      </c>
      <c r="L352">
        <f t="shared" si="20"/>
        <v>300</v>
      </c>
      <c r="M352">
        <f t="shared" si="21"/>
        <v>10</v>
      </c>
      <c r="N352">
        <f t="shared" si="22"/>
        <v>240</v>
      </c>
      <c r="O352" s="5">
        <f t="shared" si="23"/>
        <v>55</v>
      </c>
    </row>
    <row r="353" spans="1:15" x14ac:dyDescent="0.3">
      <c r="A353" t="s">
        <v>375</v>
      </c>
      <c r="B353" s="3">
        <v>46062</v>
      </c>
      <c r="C353" t="s">
        <v>229</v>
      </c>
      <c r="D353" t="s">
        <v>22</v>
      </c>
      <c r="E353">
        <v>20</v>
      </c>
      <c r="F353">
        <v>50</v>
      </c>
      <c r="G353">
        <v>0</v>
      </c>
      <c r="H353">
        <v>5</v>
      </c>
      <c r="I353" t="s">
        <v>230</v>
      </c>
      <c r="J353" t="s">
        <v>19</v>
      </c>
      <c r="K353">
        <v>40</v>
      </c>
      <c r="L353">
        <f t="shared" si="20"/>
        <v>1000</v>
      </c>
      <c r="M353">
        <f t="shared" si="21"/>
        <v>0</v>
      </c>
      <c r="N353">
        <f t="shared" si="22"/>
        <v>800</v>
      </c>
      <c r="O353" s="5">
        <f t="shared" si="23"/>
        <v>195</v>
      </c>
    </row>
    <row r="354" spans="1:15" x14ac:dyDescent="0.3">
      <c r="A354" t="s">
        <v>376</v>
      </c>
      <c r="B354" s="3">
        <v>46199</v>
      </c>
      <c r="C354" t="s">
        <v>229</v>
      </c>
      <c r="D354" t="s">
        <v>24</v>
      </c>
      <c r="E354">
        <v>11</v>
      </c>
      <c r="F354">
        <v>50</v>
      </c>
      <c r="G354">
        <v>0.2</v>
      </c>
      <c r="H354">
        <v>10</v>
      </c>
      <c r="I354" t="s">
        <v>230</v>
      </c>
      <c r="J354" t="s">
        <v>19</v>
      </c>
      <c r="K354">
        <v>40</v>
      </c>
      <c r="L354">
        <f t="shared" si="20"/>
        <v>550</v>
      </c>
      <c r="M354">
        <f t="shared" si="21"/>
        <v>10</v>
      </c>
      <c r="N354">
        <f t="shared" si="22"/>
        <v>440</v>
      </c>
      <c r="O354" s="5">
        <f t="shared" si="23"/>
        <v>100</v>
      </c>
    </row>
    <row r="355" spans="1:15" x14ac:dyDescent="0.3">
      <c r="A355" t="s">
        <v>377</v>
      </c>
      <c r="B355" s="3">
        <v>46323</v>
      </c>
      <c r="C355" t="s">
        <v>229</v>
      </c>
      <c r="D355" t="s">
        <v>34</v>
      </c>
      <c r="E355">
        <v>20</v>
      </c>
      <c r="F355">
        <v>50</v>
      </c>
      <c r="G355">
        <v>0</v>
      </c>
      <c r="H355">
        <v>5</v>
      </c>
      <c r="I355" t="s">
        <v>230</v>
      </c>
      <c r="J355" t="s">
        <v>19</v>
      </c>
      <c r="K355">
        <v>40</v>
      </c>
      <c r="L355">
        <f t="shared" si="20"/>
        <v>1000</v>
      </c>
      <c r="M355">
        <f t="shared" si="21"/>
        <v>0</v>
      </c>
      <c r="N355">
        <f t="shared" si="22"/>
        <v>800</v>
      </c>
      <c r="O355" s="5">
        <f t="shared" si="23"/>
        <v>195</v>
      </c>
    </row>
    <row r="356" spans="1:15" x14ac:dyDescent="0.3">
      <c r="A356" t="s">
        <v>378</v>
      </c>
      <c r="B356" s="3">
        <v>46377</v>
      </c>
      <c r="C356" t="s">
        <v>229</v>
      </c>
      <c r="D356" t="s">
        <v>22</v>
      </c>
      <c r="E356">
        <v>19</v>
      </c>
      <c r="F356">
        <v>50</v>
      </c>
      <c r="G356">
        <v>0.1</v>
      </c>
      <c r="H356">
        <v>15</v>
      </c>
      <c r="I356" t="s">
        <v>230</v>
      </c>
      <c r="J356" t="s">
        <v>19</v>
      </c>
      <c r="K356">
        <v>40</v>
      </c>
      <c r="L356">
        <f t="shared" si="20"/>
        <v>950</v>
      </c>
      <c r="M356">
        <f t="shared" si="21"/>
        <v>5</v>
      </c>
      <c r="N356">
        <f t="shared" si="22"/>
        <v>760</v>
      </c>
      <c r="O356" s="5">
        <f t="shared" si="23"/>
        <v>175</v>
      </c>
    </row>
    <row r="357" spans="1:15" x14ac:dyDescent="0.3">
      <c r="A357" t="s">
        <v>379</v>
      </c>
      <c r="B357" s="3">
        <v>46120</v>
      </c>
      <c r="C357" t="s">
        <v>229</v>
      </c>
      <c r="D357" t="s">
        <v>24</v>
      </c>
      <c r="E357">
        <v>10</v>
      </c>
      <c r="F357">
        <v>50</v>
      </c>
      <c r="G357">
        <v>0.35</v>
      </c>
      <c r="H357">
        <v>15</v>
      </c>
      <c r="I357" t="s">
        <v>230</v>
      </c>
      <c r="J357" t="s">
        <v>19</v>
      </c>
      <c r="K357">
        <v>40</v>
      </c>
      <c r="L357">
        <f t="shared" si="20"/>
        <v>500</v>
      </c>
      <c r="M357">
        <f t="shared" si="21"/>
        <v>17.5</v>
      </c>
      <c r="N357">
        <f t="shared" si="22"/>
        <v>400</v>
      </c>
      <c r="O357" s="5">
        <f t="shared" si="23"/>
        <v>85</v>
      </c>
    </row>
    <row r="358" spans="1:15" x14ac:dyDescent="0.3">
      <c r="A358" t="s">
        <v>380</v>
      </c>
      <c r="B358" s="3">
        <v>46343</v>
      </c>
      <c r="C358" t="s">
        <v>229</v>
      </c>
      <c r="D358" t="s">
        <v>22</v>
      </c>
      <c r="E358">
        <v>10</v>
      </c>
      <c r="F358">
        <v>50</v>
      </c>
      <c r="G358">
        <v>0</v>
      </c>
      <c r="H358">
        <v>5</v>
      </c>
      <c r="I358" t="s">
        <v>230</v>
      </c>
      <c r="J358" t="s">
        <v>19</v>
      </c>
      <c r="K358">
        <v>40</v>
      </c>
      <c r="L358">
        <f t="shared" si="20"/>
        <v>500</v>
      </c>
      <c r="M358">
        <f t="shared" si="21"/>
        <v>0</v>
      </c>
      <c r="N358">
        <f t="shared" si="22"/>
        <v>400</v>
      </c>
      <c r="O358" s="5">
        <f t="shared" si="23"/>
        <v>95</v>
      </c>
    </row>
    <row r="359" spans="1:15" x14ac:dyDescent="0.3">
      <c r="A359" t="s">
        <v>381</v>
      </c>
      <c r="B359" s="3">
        <v>46128</v>
      </c>
      <c r="C359" t="s">
        <v>229</v>
      </c>
      <c r="D359" t="s">
        <v>24</v>
      </c>
      <c r="E359">
        <v>12</v>
      </c>
      <c r="F359">
        <v>50</v>
      </c>
      <c r="G359">
        <v>0.1</v>
      </c>
      <c r="H359">
        <v>15</v>
      </c>
      <c r="I359" t="s">
        <v>230</v>
      </c>
      <c r="J359" t="s">
        <v>19</v>
      </c>
      <c r="K359">
        <v>40</v>
      </c>
      <c r="L359">
        <f t="shared" si="20"/>
        <v>600</v>
      </c>
      <c r="M359">
        <f t="shared" si="21"/>
        <v>5</v>
      </c>
      <c r="N359">
        <f t="shared" si="22"/>
        <v>480</v>
      </c>
      <c r="O359" s="5">
        <f t="shared" si="23"/>
        <v>105</v>
      </c>
    </row>
    <row r="360" spans="1:15" x14ac:dyDescent="0.3">
      <c r="A360" t="s">
        <v>382</v>
      </c>
      <c r="B360" s="3">
        <v>46210</v>
      </c>
      <c r="C360" t="s">
        <v>229</v>
      </c>
      <c r="D360" t="s">
        <v>22</v>
      </c>
      <c r="E360">
        <v>2</v>
      </c>
      <c r="F360">
        <v>50</v>
      </c>
      <c r="G360">
        <v>0.2</v>
      </c>
      <c r="H360">
        <v>5</v>
      </c>
      <c r="I360" t="s">
        <v>230</v>
      </c>
      <c r="J360" t="s">
        <v>19</v>
      </c>
      <c r="K360">
        <v>40</v>
      </c>
      <c r="L360">
        <f t="shared" si="20"/>
        <v>100</v>
      </c>
      <c r="M360">
        <f t="shared" si="21"/>
        <v>10</v>
      </c>
      <c r="N360">
        <f t="shared" si="22"/>
        <v>80</v>
      </c>
      <c r="O360" s="5">
        <f t="shared" si="23"/>
        <v>15</v>
      </c>
    </row>
    <row r="361" spans="1:15" x14ac:dyDescent="0.3">
      <c r="A361" t="s">
        <v>383</v>
      </c>
      <c r="B361" s="3">
        <v>46199</v>
      </c>
      <c r="C361" t="s">
        <v>229</v>
      </c>
      <c r="D361" t="s">
        <v>22</v>
      </c>
      <c r="E361">
        <v>3</v>
      </c>
      <c r="F361">
        <v>50</v>
      </c>
      <c r="G361">
        <v>0</v>
      </c>
      <c r="H361">
        <v>15</v>
      </c>
      <c r="I361" t="s">
        <v>230</v>
      </c>
      <c r="J361" t="s">
        <v>19</v>
      </c>
      <c r="K361">
        <v>40</v>
      </c>
      <c r="L361">
        <f t="shared" si="20"/>
        <v>150</v>
      </c>
      <c r="M361">
        <f t="shared" si="21"/>
        <v>0</v>
      </c>
      <c r="N361">
        <f t="shared" si="22"/>
        <v>120</v>
      </c>
      <c r="O361" s="5">
        <f t="shared" si="23"/>
        <v>15</v>
      </c>
    </row>
    <row r="362" spans="1:15" x14ac:dyDescent="0.3">
      <c r="A362" t="s">
        <v>384</v>
      </c>
      <c r="B362" s="3">
        <v>46123</v>
      </c>
      <c r="C362" t="s">
        <v>229</v>
      </c>
      <c r="D362" t="s">
        <v>22</v>
      </c>
      <c r="E362">
        <v>10</v>
      </c>
      <c r="F362">
        <v>50</v>
      </c>
      <c r="G362">
        <v>0.35</v>
      </c>
      <c r="H362">
        <v>10</v>
      </c>
      <c r="I362" t="s">
        <v>230</v>
      </c>
      <c r="J362" t="s">
        <v>19</v>
      </c>
      <c r="K362">
        <v>40</v>
      </c>
      <c r="L362">
        <f t="shared" si="20"/>
        <v>500</v>
      </c>
      <c r="M362">
        <f t="shared" si="21"/>
        <v>17.5</v>
      </c>
      <c r="N362">
        <f t="shared" si="22"/>
        <v>400</v>
      </c>
      <c r="O362" s="5">
        <f t="shared" si="23"/>
        <v>90</v>
      </c>
    </row>
    <row r="363" spans="1:15" x14ac:dyDescent="0.3">
      <c r="A363" t="s">
        <v>385</v>
      </c>
      <c r="B363" s="3">
        <v>46322</v>
      </c>
      <c r="C363" t="s">
        <v>229</v>
      </c>
      <c r="D363" t="s">
        <v>24</v>
      </c>
      <c r="E363">
        <v>23</v>
      </c>
      <c r="F363">
        <v>50</v>
      </c>
      <c r="G363">
        <v>0.35</v>
      </c>
      <c r="H363">
        <v>15</v>
      </c>
      <c r="I363" t="s">
        <v>230</v>
      </c>
      <c r="J363" t="s">
        <v>19</v>
      </c>
      <c r="K363">
        <v>40</v>
      </c>
      <c r="L363">
        <f t="shared" si="20"/>
        <v>1150</v>
      </c>
      <c r="M363">
        <f t="shared" si="21"/>
        <v>17.5</v>
      </c>
      <c r="N363">
        <f t="shared" si="22"/>
        <v>920</v>
      </c>
      <c r="O363" s="5">
        <f t="shared" si="23"/>
        <v>215</v>
      </c>
    </row>
    <row r="364" spans="1:15" x14ac:dyDescent="0.3">
      <c r="A364" t="s">
        <v>386</v>
      </c>
      <c r="B364" s="3">
        <v>46161</v>
      </c>
      <c r="C364" t="s">
        <v>229</v>
      </c>
      <c r="D364" t="s">
        <v>22</v>
      </c>
      <c r="E364">
        <v>6</v>
      </c>
      <c r="F364">
        <v>50</v>
      </c>
      <c r="G364">
        <v>0.35</v>
      </c>
      <c r="H364">
        <v>10</v>
      </c>
      <c r="I364" t="s">
        <v>230</v>
      </c>
      <c r="J364" t="s">
        <v>19</v>
      </c>
      <c r="K364">
        <v>40</v>
      </c>
      <c r="L364">
        <f t="shared" si="20"/>
        <v>300</v>
      </c>
      <c r="M364">
        <f t="shared" si="21"/>
        <v>17.5</v>
      </c>
      <c r="N364">
        <f t="shared" si="22"/>
        <v>240</v>
      </c>
      <c r="O364" s="5">
        <f t="shared" si="23"/>
        <v>50</v>
      </c>
    </row>
    <row r="365" spans="1:15" x14ac:dyDescent="0.3">
      <c r="A365" t="s">
        <v>387</v>
      </c>
      <c r="B365" s="3">
        <v>46087</v>
      </c>
      <c r="C365" t="s">
        <v>229</v>
      </c>
      <c r="D365" t="s">
        <v>34</v>
      </c>
      <c r="E365">
        <v>25</v>
      </c>
      <c r="F365">
        <v>50</v>
      </c>
      <c r="G365">
        <v>0.1</v>
      </c>
      <c r="H365">
        <v>5</v>
      </c>
      <c r="I365" t="s">
        <v>230</v>
      </c>
      <c r="J365" t="s">
        <v>19</v>
      </c>
      <c r="K365">
        <v>40</v>
      </c>
      <c r="L365">
        <f t="shared" si="20"/>
        <v>1250</v>
      </c>
      <c r="M365">
        <f t="shared" si="21"/>
        <v>5</v>
      </c>
      <c r="N365">
        <f t="shared" si="22"/>
        <v>1000</v>
      </c>
      <c r="O365" s="5">
        <f t="shared" si="23"/>
        <v>245</v>
      </c>
    </row>
    <row r="366" spans="1:15" x14ac:dyDescent="0.3">
      <c r="A366" t="s">
        <v>388</v>
      </c>
      <c r="B366" s="3">
        <v>46205</v>
      </c>
      <c r="C366" t="s">
        <v>229</v>
      </c>
      <c r="D366" t="s">
        <v>17</v>
      </c>
      <c r="E366">
        <v>21</v>
      </c>
      <c r="F366">
        <v>50</v>
      </c>
      <c r="G366">
        <v>0.1</v>
      </c>
      <c r="H366">
        <v>10</v>
      </c>
      <c r="I366" t="s">
        <v>230</v>
      </c>
      <c r="J366" t="s">
        <v>19</v>
      </c>
      <c r="K366">
        <v>40</v>
      </c>
      <c r="L366">
        <f t="shared" si="20"/>
        <v>1050</v>
      </c>
      <c r="M366">
        <f t="shared" si="21"/>
        <v>5</v>
      </c>
      <c r="N366">
        <f t="shared" si="22"/>
        <v>840</v>
      </c>
      <c r="O366" s="5">
        <f t="shared" si="23"/>
        <v>200</v>
      </c>
    </row>
    <row r="367" spans="1:15" x14ac:dyDescent="0.3">
      <c r="A367" t="s">
        <v>389</v>
      </c>
      <c r="B367" s="3">
        <v>46251</v>
      </c>
      <c r="C367" t="s">
        <v>229</v>
      </c>
      <c r="D367" t="s">
        <v>17</v>
      </c>
      <c r="E367">
        <v>21</v>
      </c>
      <c r="F367">
        <v>50</v>
      </c>
      <c r="G367">
        <v>0</v>
      </c>
      <c r="H367">
        <v>20</v>
      </c>
      <c r="I367" t="s">
        <v>230</v>
      </c>
      <c r="J367" t="s">
        <v>19</v>
      </c>
      <c r="K367">
        <v>40</v>
      </c>
      <c r="L367">
        <f t="shared" si="20"/>
        <v>1050</v>
      </c>
      <c r="M367">
        <f t="shared" si="21"/>
        <v>0</v>
      </c>
      <c r="N367">
        <f t="shared" si="22"/>
        <v>840</v>
      </c>
      <c r="O367" s="5">
        <f t="shared" si="23"/>
        <v>190</v>
      </c>
    </row>
    <row r="368" spans="1:15" x14ac:dyDescent="0.3">
      <c r="A368" t="s">
        <v>390</v>
      </c>
      <c r="B368" s="3">
        <v>46038</v>
      </c>
      <c r="C368" t="s">
        <v>229</v>
      </c>
      <c r="D368" t="s">
        <v>24</v>
      </c>
      <c r="E368">
        <v>3</v>
      </c>
      <c r="F368">
        <v>50</v>
      </c>
      <c r="G368">
        <v>0.35</v>
      </c>
      <c r="H368">
        <v>15</v>
      </c>
      <c r="I368" t="s">
        <v>230</v>
      </c>
      <c r="J368" t="s">
        <v>19</v>
      </c>
      <c r="K368">
        <v>40</v>
      </c>
      <c r="L368">
        <f t="shared" si="20"/>
        <v>150</v>
      </c>
      <c r="M368">
        <f t="shared" si="21"/>
        <v>17.5</v>
      </c>
      <c r="N368">
        <f t="shared" si="22"/>
        <v>120</v>
      </c>
      <c r="O368" s="5">
        <f t="shared" si="23"/>
        <v>15</v>
      </c>
    </row>
    <row r="369" spans="1:15" x14ac:dyDescent="0.3">
      <c r="A369" t="s">
        <v>391</v>
      </c>
      <c r="B369" s="3">
        <v>46190</v>
      </c>
      <c r="C369" t="s">
        <v>229</v>
      </c>
      <c r="D369" t="s">
        <v>34</v>
      </c>
      <c r="E369">
        <v>15</v>
      </c>
      <c r="F369">
        <v>50</v>
      </c>
      <c r="G369">
        <v>0</v>
      </c>
      <c r="H369">
        <v>10</v>
      </c>
      <c r="I369" t="s">
        <v>230</v>
      </c>
      <c r="J369" t="s">
        <v>19</v>
      </c>
      <c r="K369">
        <v>40</v>
      </c>
      <c r="L369">
        <f t="shared" si="20"/>
        <v>750</v>
      </c>
      <c r="M369">
        <f t="shared" si="21"/>
        <v>0</v>
      </c>
      <c r="N369">
        <f t="shared" si="22"/>
        <v>600</v>
      </c>
      <c r="O369" s="5">
        <f t="shared" si="23"/>
        <v>140</v>
      </c>
    </row>
    <row r="370" spans="1:15" x14ac:dyDescent="0.3">
      <c r="A370" t="s">
        <v>392</v>
      </c>
      <c r="B370" s="3">
        <v>46314</v>
      </c>
      <c r="C370" t="s">
        <v>229</v>
      </c>
      <c r="D370" t="s">
        <v>22</v>
      </c>
      <c r="E370">
        <v>11</v>
      </c>
      <c r="F370">
        <v>50</v>
      </c>
      <c r="G370">
        <v>0</v>
      </c>
      <c r="H370">
        <v>20</v>
      </c>
      <c r="I370" t="s">
        <v>230</v>
      </c>
      <c r="J370" t="s">
        <v>19</v>
      </c>
      <c r="K370">
        <v>40</v>
      </c>
      <c r="L370">
        <f t="shared" si="20"/>
        <v>550</v>
      </c>
      <c r="M370">
        <f t="shared" si="21"/>
        <v>0</v>
      </c>
      <c r="N370">
        <f t="shared" si="22"/>
        <v>440</v>
      </c>
      <c r="O370" s="5">
        <f t="shared" si="23"/>
        <v>90</v>
      </c>
    </row>
    <row r="371" spans="1:15" x14ac:dyDescent="0.3">
      <c r="A371" t="s">
        <v>393</v>
      </c>
      <c r="B371" s="3">
        <v>46032</v>
      </c>
      <c r="C371" t="s">
        <v>229</v>
      </c>
      <c r="D371" t="s">
        <v>22</v>
      </c>
      <c r="E371">
        <v>10</v>
      </c>
      <c r="F371">
        <v>50</v>
      </c>
      <c r="G371">
        <v>0.1</v>
      </c>
      <c r="H371">
        <v>5</v>
      </c>
      <c r="I371" t="s">
        <v>230</v>
      </c>
      <c r="J371" t="s">
        <v>19</v>
      </c>
      <c r="K371">
        <v>40</v>
      </c>
      <c r="L371">
        <f t="shared" si="20"/>
        <v>500</v>
      </c>
      <c r="M371">
        <f t="shared" si="21"/>
        <v>5</v>
      </c>
      <c r="N371">
        <f t="shared" si="22"/>
        <v>400</v>
      </c>
      <c r="O371" s="5">
        <f t="shared" si="23"/>
        <v>95</v>
      </c>
    </row>
    <row r="372" spans="1:15" x14ac:dyDescent="0.3">
      <c r="A372" t="s">
        <v>394</v>
      </c>
      <c r="B372" s="3">
        <v>46237</v>
      </c>
      <c r="C372" t="s">
        <v>229</v>
      </c>
      <c r="D372" t="s">
        <v>24</v>
      </c>
      <c r="E372">
        <v>21</v>
      </c>
      <c r="F372">
        <v>50</v>
      </c>
      <c r="G372">
        <v>0.35</v>
      </c>
      <c r="H372">
        <v>10</v>
      </c>
      <c r="I372" t="s">
        <v>230</v>
      </c>
      <c r="J372" t="s">
        <v>19</v>
      </c>
      <c r="K372">
        <v>40</v>
      </c>
      <c r="L372">
        <f t="shared" si="20"/>
        <v>1050</v>
      </c>
      <c r="M372">
        <f t="shared" si="21"/>
        <v>17.5</v>
      </c>
      <c r="N372">
        <f t="shared" si="22"/>
        <v>840</v>
      </c>
      <c r="O372" s="5">
        <f t="shared" si="23"/>
        <v>200</v>
      </c>
    </row>
    <row r="373" spans="1:15" x14ac:dyDescent="0.3">
      <c r="A373" t="s">
        <v>395</v>
      </c>
      <c r="B373" s="3">
        <v>46306</v>
      </c>
      <c r="C373" t="s">
        <v>229</v>
      </c>
      <c r="D373" t="s">
        <v>22</v>
      </c>
      <c r="E373">
        <v>18</v>
      </c>
      <c r="F373">
        <v>50</v>
      </c>
      <c r="G373">
        <v>0.35</v>
      </c>
      <c r="H373">
        <v>20</v>
      </c>
      <c r="I373" t="s">
        <v>230</v>
      </c>
      <c r="J373" t="s">
        <v>19</v>
      </c>
      <c r="K373">
        <v>40</v>
      </c>
      <c r="L373">
        <f t="shared" si="20"/>
        <v>900</v>
      </c>
      <c r="M373">
        <f t="shared" si="21"/>
        <v>17.5</v>
      </c>
      <c r="N373">
        <f t="shared" si="22"/>
        <v>720</v>
      </c>
      <c r="O373" s="5">
        <f t="shared" si="23"/>
        <v>160</v>
      </c>
    </row>
    <row r="374" spans="1:15" x14ac:dyDescent="0.3">
      <c r="A374" t="s">
        <v>396</v>
      </c>
      <c r="B374" s="3">
        <v>46156</v>
      </c>
      <c r="C374" t="s">
        <v>229</v>
      </c>
      <c r="D374" t="s">
        <v>22</v>
      </c>
      <c r="E374">
        <v>6</v>
      </c>
      <c r="F374">
        <v>50</v>
      </c>
      <c r="G374">
        <v>0.2</v>
      </c>
      <c r="H374">
        <v>5</v>
      </c>
      <c r="I374" t="s">
        <v>230</v>
      </c>
      <c r="J374" t="s">
        <v>19</v>
      </c>
      <c r="K374">
        <v>40</v>
      </c>
      <c r="L374">
        <f t="shared" si="20"/>
        <v>300</v>
      </c>
      <c r="M374">
        <f t="shared" si="21"/>
        <v>10</v>
      </c>
      <c r="N374">
        <f t="shared" si="22"/>
        <v>240</v>
      </c>
      <c r="O374" s="5">
        <f t="shared" si="23"/>
        <v>55</v>
      </c>
    </row>
    <row r="375" spans="1:15" x14ac:dyDescent="0.3">
      <c r="A375" t="s">
        <v>397</v>
      </c>
      <c r="B375" s="3">
        <v>46174</v>
      </c>
      <c r="C375" t="s">
        <v>229</v>
      </c>
      <c r="D375" t="s">
        <v>34</v>
      </c>
      <c r="E375">
        <v>13</v>
      </c>
      <c r="F375">
        <v>50</v>
      </c>
      <c r="G375">
        <v>0.2</v>
      </c>
      <c r="H375">
        <v>5</v>
      </c>
      <c r="I375" t="s">
        <v>230</v>
      </c>
      <c r="J375" t="s">
        <v>19</v>
      </c>
      <c r="K375">
        <v>40</v>
      </c>
      <c r="L375">
        <f t="shared" si="20"/>
        <v>650</v>
      </c>
      <c r="M375">
        <f t="shared" si="21"/>
        <v>10</v>
      </c>
      <c r="N375">
        <f t="shared" si="22"/>
        <v>520</v>
      </c>
      <c r="O375" s="5">
        <f t="shared" si="23"/>
        <v>125</v>
      </c>
    </row>
    <row r="376" spans="1:15" x14ac:dyDescent="0.3">
      <c r="A376" t="s">
        <v>398</v>
      </c>
      <c r="B376" s="3">
        <v>46307</v>
      </c>
      <c r="C376" t="s">
        <v>229</v>
      </c>
      <c r="D376" t="s">
        <v>34</v>
      </c>
      <c r="E376">
        <v>16</v>
      </c>
      <c r="F376">
        <v>50</v>
      </c>
      <c r="G376">
        <v>0</v>
      </c>
      <c r="H376">
        <v>20</v>
      </c>
      <c r="I376" t="s">
        <v>230</v>
      </c>
      <c r="J376" t="s">
        <v>19</v>
      </c>
      <c r="K376">
        <v>40</v>
      </c>
      <c r="L376">
        <f t="shared" si="20"/>
        <v>800</v>
      </c>
      <c r="M376">
        <f t="shared" si="21"/>
        <v>0</v>
      </c>
      <c r="N376">
        <f t="shared" si="22"/>
        <v>640</v>
      </c>
      <c r="O376" s="5">
        <f t="shared" si="23"/>
        <v>140</v>
      </c>
    </row>
    <row r="377" spans="1:15" x14ac:dyDescent="0.3">
      <c r="A377" t="s">
        <v>399</v>
      </c>
      <c r="B377" s="3">
        <v>46170</v>
      </c>
      <c r="C377" t="s">
        <v>229</v>
      </c>
      <c r="D377" t="s">
        <v>22</v>
      </c>
      <c r="E377">
        <v>24</v>
      </c>
      <c r="F377">
        <v>50</v>
      </c>
      <c r="G377">
        <v>0.35</v>
      </c>
      <c r="H377">
        <v>15</v>
      </c>
      <c r="I377" t="s">
        <v>230</v>
      </c>
      <c r="J377" t="s">
        <v>19</v>
      </c>
      <c r="K377">
        <v>40</v>
      </c>
      <c r="L377">
        <f t="shared" si="20"/>
        <v>1200</v>
      </c>
      <c r="M377">
        <f t="shared" si="21"/>
        <v>17.5</v>
      </c>
      <c r="N377">
        <f t="shared" si="22"/>
        <v>960</v>
      </c>
      <c r="O377" s="5">
        <f t="shared" si="23"/>
        <v>225</v>
      </c>
    </row>
    <row r="378" spans="1:15" x14ac:dyDescent="0.3">
      <c r="A378" t="s">
        <v>400</v>
      </c>
      <c r="B378" s="3">
        <v>46303</v>
      </c>
      <c r="C378" t="s">
        <v>229</v>
      </c>
      <c r="D378" t="s">
        <v>34</v>
      </c>
      <c r="E378">
        <v>5</v>
      </c>
      <c r="F378">
        <v>50</v>
      </c>
      <c r="G378">
        <v>0</v>
      </c>
      <c r="H378">
        <v>20</v>
      </c>
      <c r="I378" t="s">
        <v>230</v>
      </c>
      <c r="J378" t="s">
        <v>19</v>
      </c>
      <c r="K378">
        <v>40</v>
      </c>
      <c r="L378">
        <f t="shared" si="20"/>
        <v>250</v>
      </c>
      <c r="M378">
        <f t="shared" si="21"/>
        <v>0</v>
      </c>
      <c r="N378">
        <f t="shared" si="22"/>
        <v>200</v>
      </c>
      <c r="O378" s="5">
        <f t="shared" si="23"/>
        <v>30</v>
      </c>
    </row>
    <row r="379" spans="1:15" x14ac:dyDescent="0.3">
      <c r="A379" t="s">
        <v>401</v>
      </c>
      <c r="B379" s="3">
        <v>46071</v>
      </c>
      <c r="C379" t="s">
        <v>229</v>
      </c>
      <c r="D379" t="s">
        <v>17</v>
      </c>
      <c r="E379">
        <v>4</v>
      </c>
      <c r="F379">
        <v>50</v>
      </c>
      <c r="G379">
        <v>0.2</v>
      </c>
      <c r="H379">
        <v>20</v>
      </c>
      <c r="I379" t="s">
        <v>230</v>
      </c>
      <c r="J379" t="s">
        <v>19</v>
      </c>
      <c r="K379">
        <v>40</v>
      </c>
      <c r="L379">
        <f t="shared" si="20"/>
        <v>200</v>
      </c>
      <c r="M379">
        <f t="shared" si="21"/>
        <v>10</v>
      </c>
      <c r="N379">
        <f t="shared" si="22"/>
        <v>160</v>
      </c>
      <c r="O379" s="5">
        <f t="shared" si="23"/>
        <v>20</v>
      </c>
    </row>
    <row r="380" spans="1:15" x14ac:dyDescent="0.3">
      <c r="A380" t="s">
        <v>402</v>
      </c>
      <c r="B380" s="3">
        <v>46134</v>
      </c>
      <c r="C380" t="s">
        <v>229</v>
      </c>
      <c r="D380" t="s">
        <v>34</v>
      </c>
      <c r="E380">
        <v>21</v>
      </c>
      <c r="F380">
        <v>50</v>
      </c>
      <c r="G380">
        <v>0.2</v>
      </c>
      <c r="H380">
        <v>10</v>
      </c>
      <c r="I380" t="s">
        <v>230</v>
      </c>
      <c r="J380" t="s">
        <v>19</v>
      </c>
      <c r="K380">
        <v>40</v>
      </c>
      <c r="L380">
        <f t="shared" si="20"/>
        <v>1050</v>
      </c>
      <c r="M380">
        <f t="shared" si="21"/>
        <v>10</v>
      </c>
      <c r="N380">
        <f t="shared" si="22"/>
        <v>840</v>
      </c>
      <c r="O380" s="5">
        <f t="shared" si="23"/>
        <v>200</v>
      </c>
    </row>
    <row r="381" spans="1:15" x14ac:dyDescent="0.3">
      <c r="A381" t="s">
        <v>403</v>
      </c>
      <c r="B381" s="3">
        <v>46068</v>
      </c>
      <c r="C381" t="s">
        <v>229</v>
      </c>
      <c r="D381" t="s">
        <v>24</v>
      </c>
      <c r="E381">
        <v>12</v>
      </c>
      <c r="F381">
        <v>50</v>
      </c>
      <c r="G381">
        <v>0.35</v>
      </c>
      <c r="H381">
        <v>5</v>
      </c>
      <c r="I381" t="s">
        <v>230</v>
      </c>
      <c r="J381" t="s">
        <v>19</v>
      </c>
      <c r="K381">
        <v>40</v>
      </c>
      <c r="L381">
        <f t="shared" si="20"/>
        <v>600</v>
      </c>
      <c r="M381">
        <f t="shared" si="21"/>
        <v>17.5</v>
      </c>
      <c r="N381">
        <f t="shared" si="22"/>
        <v>480</v>
      </c>
      <c r="O381" s="5">
        <f t="shared" si="23"/>
        <v>115</v>
      </c>
    </row>
    <row r="382" spans="1:15" x14ac:dyDescent="0.3">
      <c r="A382" t="s">
        <v>404</v>
      </c>
      <c r="B382" s="3">
        <v>46068</v>
      </c>
      <c r="C382" t="s">
        <v>229</v>
      </c>
      <c r="D382" t="s">
        <v>17</v>
      </c>
      <c r="E382">
        <v>2</v>
      </c>
      <c r="F382">
        <v>50</v>
      </c>
      <c r="G382">
        <v>0.35</v>
      </c>
      <c r="H382">
        <v>10</v>
      </c>
      <c r="I382" t="s">
        <v>230</v>
      </c>
      <c r="J382" t="s">
        <v>19</v>
      </c>
      <c r="K382">
        <v>40</v>
      </c>
      <c r="L382">
        <f t="shared" si="20"/>
        <v>100</v>
      </c>
      <c r="M382">
        <f t="shared" si="21"/>
        <v>17.5</v>
      </c>
      <c r="N382">
        <f t="shared" si="22"/>
        <v>80</v>
      </c>
      <c r="O382" s="5">
        <f t="shared" si="23"/>
        <v>10</v>
      </c>
    </row>
    <row r="383" spans="1:15" x14ac:dyDescent="0.3">
      <c r="A383" t="s">
        <v>405</v>
      </c>
      <c r="B383" s="3">
        <v>46327</v>
      </c>
      <c r="C383" t="s">
        <v>229</v>
      </c>
      <c r="D383" t="s">
        <v>24</v>
      </c>
      <c r="E383">
        <v>4</v>
      </c>
      <c r="F383">
        <v>50</v>
      </c>
      <c r="G383">
        <v>0.35</v>
      </c>
      <c r="H383">
        <v>10</v>
      </c>
      <c r="I383" t="s">
        <v>230</v>
      </c>
      <c r="J383" t="s">
        <v>19</v>
      </c>
      <c r="K383">
        <v>40</v>
      </c>
      <c r="L383">
        <f t="shared" si="20"/>
        <v>200</v>
      </c>
      <c r="M383">
        <f t="shared" si="21"/>
        <v>17.5</v>
      </c>
      <c r="N383">
        <f t="shared" si="22"/>
        <v>160</v>
      </c>
      <c r="O383" s="5">
        <f t="shared" si="23"/>
        <v>30</v>
      </c>
    </row>
    <row r="384" spans="1:15" x14ac:dyDescent="0.3">
      <c r="A384" t="s">
        <v>406</v>
      </c>
      <c r="B384" s="3">
        <v>46151</v>
      </c>
      <c r="C384" t="s">
        <v>229</v>
      </c>
      <c r="D384" t="s">
        <v>34</v>
      </c>
      <c r="E384">
        <v>2</v>
      </c>
      <c r="F384">
        <v>50</v>
      </c>
      <c r="G384">
        <v>0.1</v>
      </c>
      <c r="H384">
        <v>10</v>
      </c>
      <c r="I384" t="s">
        <v>230</v>
      </c>
      <c r="J384" t="s">
        <v>19</v>
      </c>
      <c r="K384">
        <v>40</v>
      </c>
      <c r="L384">
        <f t="shared" si="20"/>
        <v>100</v>
      </c>
      <c r="M384">
        <f t="shared" si="21"/>
        <v>5</v>
      </c>
      <c r="N384">
        <f t="shared" si="22"/>
        <v>80</v>
      </c>
      <c r="O384" s="5">
        <f t="shared" si="23"/>
        <v>10</v>
      </c>
    </row>
    <row r="385" spans="1:15" x14ac:dyDescent="0.3">
      <c r="A385" t="s">
        <v>407</v>
      </c>
      <c r="B385" s="3">
        <v>46302</v>
      </c>
      <c r="C385" t="s">
        <v>229</v>
      </c>
      <c r="D385" t="s">
        <v>22</v>
      </c>
      <c r="E385">
        <v>20</v>
      </c>
      <c r="F385">
        <v>50</v>
      </c>
      <c r="G385">
        <v>0.2</v>
      </c>
      <c r="H385">
        <v>5</v>
      </c>
      <c r="I385" t="s">
        <v>230</v>
      </c>
      <c r="J385" t="s">
        <v>19</v>
      </c>
      <c r="K385">
        <v>40</v>
      </c>
      <c r="L385">
        <f t="shared" si="20"/>
        <v>1000</v>
      </c>
      <c r="M385">
        <f t="shared" si="21"/>
        <v>10</v>
      </c>
      <c r="N385">
        <f t="shared" si="22"/>
        <v>800</v>
      </c>
      <c r="O385" s="5">
        <f t="shared" si="23"/>
        <v>195</v>
      </c>
    </row>
    <row r="386" spans="1:15" x14ac:dyDescent="0.3">
      <c r="A386" t="s">
        <v>408</v>
      </c>
      <c r="B386" s="3">
        <v>46350</v>
      </c>
      <c r="C386" t="s">
        <v>229</v>
      </c>
      <c r="D386" t="s">
        <v>22</v>
      </c>
      <c r="E386">
        <v>10</v>
      </c>
      <c r="F386">
        <v>50</v>
      </c>
      <c r="G386">
        <v>0</v>
      </c>
      <c r="H386">
        <v>20</v>
      </c>
      <c r="I386" t="s">
        <v>230</v>
      </c>
      <c r="J386" t="s">
        <v>19</v>
      </c>
      <c r="K386">
        <v>40</v>
      </c>
      <c r="L386">
        <f t="shared" ref="L386:L449" si="24">E386*F386</f>
        <v>500</v>
      </c>
      <c r="M386">
        <f t="shared" ref="M386:M449" si="25">F386*G386</f>
        <v>0</v>
      </c>
      <c r="N386">
        <f t="shared" ref="N386:N449" si="26">E386*K386</f>
        <v>400</v>
      </c>
      <c r="O386" s="5">
        <f t="shared" ref="O386:O449" si="27">L386-H386-N386</f>
        <v>80</v>
      </c>
    </row>
    <row r="387" spans="1:15" x14ac:dyDescent="0.3">
      <c r="A387" t="s">
        <v>409</v>
      </c>
      <c r="B387" s="3">
        <v>46053</v>
      </c>
      <c r="C387" t="s">
        <v>229</v>
      </c>
      <c r="D387" t="s">
        <v>24</v>
      </c>
      <c r="E387">
        <v>3</v>
      </c>
      <c r="F387">
        <v>50</v>
      </c>
      <c r="G387">
        <v>0.1</v>
      </c>
      <c r="H387">
        <v>10</v>
      </c>
      <c r="I387" t="s">
        <v>230</v>
      </c>
      <c r="J387" t="s">
        <v>19</v>
      </c>
      <c r="K387">
        <v>40</v>
      </c>
      <c r="L387">
        <f t="shared" si="24"/>
        <v>150</v>
      </c>
      <c r="M387">
        <f t="shared" si="25"/>
        <v>5</v>
      </c>
      <c r="N387">
        <f t="shared" si="26"/>
        <v>120</v>
      </c>
      <c r="O387" s="5">
        <f t="shared" si="27"/>
        <v>20</v>
      </c>
    </row>
    <row r="388" spans="1:15" x14ac:dyDescent="0.3">
      <c r="A388" t="s">
        <v>410</v>
      </c>
      <c r="B388" s="3">
        <v>46235</v>
      </c>
      <c r="C388" t="s">
        <v>229</v>
      </c>
      <c r="D388" t="s">
        <v>34</v>
      </c>
      <c r="E388">
        <v>17</v>
      </c>
      <c r="F388">
        <v>50</v>
      </c>
      <c r="G388">
        <v>0.35</v>
      </c>
      <c r="H388">
        <v>10</v>
      </c>
      <c r="I388" t="s">
        <v>230</v>
      </c>
      <c r="J388" t="s">
        <v>19</v>
      </c>
      <c r="K388">
        <v>40</v>
      </c>
      <c r="L388">
        <f t="shared" si="24"/>
        <v>850</v>
      </c>
      <c r="M388">
        <f t="shared" si="25"/>
        <v>17.5</v>
      </c>
      <c r="N388">
        <f t="shared" si="26"/>
        <v>680</v>
      </c>
      <c r="O388" s="5">
        <f t="shared" si="27"/>
        <v>160</v>
      </c>
    </row>
    <row r="389" spans="1:15" x14ac:dyDescent="0.3">
      <c r="A389" t="s">
        <v>411</v>
      </c>
      <c r="B389" s="3">
        <v>46259</v>
      </c>
      <c r="C389" t="s">
        <v>229</v>
      </c>
      <c r="D389" t="s">
        <v>24</v>
      </c>
      <c r="E389">
        <v>9</v>
      </c>
      <c r="F389">
        <v>50</v>
      </c>
      <c r="G389">
        <v>0</v>
      </c>
      <c r="H389">
        <v>20</v>
      </c>
      <c r="I389" t="s">
        <v>230</v>
      </c>
      <c r="J389" t="s">
        <v>19</v>
      </c>
      <c r="K389">
        <v>40</v>
      </c>
      <c r="L389">
        <f t="shared" si="24"/>
        <v>450</v>
      </c>
      <c r="M389">
        <f t="shared" si="25"/>
        <v>0</v>
      </c>
      <c r="N389">
        <f t="shared" si="26"/>
        <v>360</v>
      </c>
      <c r="O389" s="5">
        <f t="shared" si="27"/>
        <v>70</v>
      </c>
    </row>
    <row r="390" spans="1:15" x14ac:dyDescent="0.3">
      <c r="A390" t="s">
        <v>412</v>
      </c>
      <c r="B390" s="3">
        <v>46039</v>
      </c>
      <c r="C390" t="s">
        <v>229</v>
      </c>
      <c r="D390" t="s">
        <v>24</v>
      </c>
      <c r="E390">
        <v>24</v>
      </c>
      <c r="F390">
        <v>50</v>
      </c>
      <c r="G390">
        <v>0.2</v>
      </c>
      <c r="H390">
        <v>15</v>
      </c>
      <c r="I390" t="s">
        <v>230</v>
      </c>
      <c r="J390" t="s">
        <v>19</v>
      </c>
      <c r="K390">
        <v>40</v>
      </c>
      <c r="L390">
        <f t="shared" si="24"/>
        <v>1200</v>
      </c>
      <c r="M390">
        <f t="shared" si="25"/>
        <v>10</v>
      </c>
      <c r="N390">
        <f t="shared" si="26"/>
        <v>960</v>
      </c>
      <c r="O390" s="5">
        <f t="shared" si="27"/>
        <v>225</v>
      </c>
    </row>
    <row r="391" spans="1:15" x14ac:dyDescent="0.3">
      <c r="A391" t="s">
        <v>413</v>
      </c>
      <c r="B391" s="3">
        <v>46373</v>
      </c>
      <c r="C391" t="s">
        <v>229</v>
      </c>
      <c r="D391" t="s">
        <v>34</v>
      </c>
      <c r="E391">
        <v>7</v>
      </c>
      <c r="F391">
        <v>50</v>
      </c>
      <c r="G391">
        <v>0.2</v>
      </c>
      <c r="H391">
        <v>5</v>
      </c>
      <c r="I391" t="s">
        <v>230</v>
      </c>
      <c r="J391" t="s">
        <v>19</v>
      </c>
      <c r="K391">
        <v>40</v>
      </c>
      <c r="L391">
        <f t="shared" si="24"/>
        <v>350</v>
      </c>
      <c r="M391">
        <f t="shared" si="25"/>
        <v>10</v>
      </c>
      <c r="N391">
        <f t="shared" si="26"/>
        <v>280</v>
      </c>
      <c r="O391" s="5">
        <f t="shared" si="27"/>
        <v>65</v>
      </c>
    </row>
    <row r="392" spans="1:15" x14ac:dyDescent="0.3">
      <c r="A392" t="s">
        <v>414</v>
      </c>
      <c r="B392" s="3">
        <v>46239</v>
      </c>
      <c r="C392" t="s">
        <v>229</v>
      </c>
      <c r="D392" t="s">
        <v>34</v>
      </c>
      <c r="E392">
        <v>21</v>
      </c>
      <c r="F392">
        <v>50</v>
      </c>
      <c r="G392">
        <v>0</v>
      </c>
      <c r="H392">
        <v>20</v>
      </c>
      <c r="I392" t="s">
        <v>230</v>
      </c>
      <c r="J392" t="s">
        <v>19</v>
      </c>
      <c r="K392">
        <v>40</v>
      </c>
      <c r="L392">
        <f t="shared" si="24"/>
        <v>1050</v>
      </c>
      <c r="M392">
        <f t="shared" si="25"/>
        <v>0</v>
      </c>
      <c r="N392">
        <f t="shared" si="26"/>
        <v>840</v>
      </c>
      <c r="O392" s="5">
        <f t="shared" si="27"/>
        <v>190</v>
      </c>
    </row>
    <row r="393" spans="1:15" x14ac:dyDescent="0.3">
      <c r="A393" t="s">
        <v>415</v>
      </c>
      <c r="B393" s="3">
        <v>46172</v>
      </c>
      <c r="C393" t="s">
        <v>229</v>
      </c>
      <c r="D393" t="s">
        <v>24</v>
      </c>
      <c r="E393">
        <v>16</v>
      </c>
      <c r="F393">
        <v>50</v>
      </c>
      <c r="G393">
        <v>0.35</v>
      </c>
      <c r="H393">
        <v>10</v>
      </c>
      <c r="I393" t="s">
        <v>230</v>
      </c>
      <c r="J393" t="s">
        <v>19</v>
      </c>
      <c r="K393">
        <v>40</v>
      </c>
      <c r="L393">
        <f t="shared" si="24"/>
        <v>800</v>
      </c>
      <c r="M393">
        <f t="shared" si="25"/>
        <v>17.5</v>
      </c>
      <c r="N393">
        <f t="shared" si="26"/>
        <v>640</v>
      </c>
      <c r="O393" s="5">
        <f t="shared" si="27"/>
        <v>150</v>
      </c>
    </row>
    <row r="394" spans="1:15" x14ac:dyDescent="0.3">
      <c r="A394" t="s">
        <v>416</v>
      </c>
      <c r="B394" s="3">
        <v>46210</v>
      </c>
      <c r="C394" t="s">
        <v>229</v>
      </c>
      <c r="D394" t="s">
        <v>24</v>
      </c>
      <c r="E394">
        <v>1</v>
      </c>
      <c r="F394">
        <v>50</v>
      </c>
      <c r="G394">
        <v>0.2</v>
      </c>
      <c r="H394">
        <v>5</v>
      </c>
      <c r="I394" t="s">
        <v>230</v>
      </c>
      <c r="J394" t="s">
        <v>19</v>
      </c>
      <c r="K394">
        <v>40</v>
      </c>
      <c r="L394">
        <f t="shared" si="24"/>
        <v>50</v>
      </c>
      <c r="M394">
        <f t="shared" si="25"/>
        <v>10</v>
      </c>
      <c r="N394">
        <f t="shared" si="26"/>
        <v>40</v>
      </c>
      <c r="O394" s="5">
        <f t="shared" si="27"/>
        <v>5</v>
      </c>
    </row>
    <row r="395" spans="1:15" x14ac:dyDescent="0.3">
      <c r="A395" t="s">
        <v>417</v>
      </c>
      <c r="B395" s="3">
        <v>46377</v>
      </c>
      <c r="C395" t="s">
        <v>229</v>
      </c>
      <c r="D395" t="s">
        <v>24</v>
      </c>
      <c r="E395">
        <v>7</v>
      </c>
      <c r="F395">
        <v>50</v>
      </c>
      <c r="G395">
        <v>0.2</v>
      </c>
      <c r="H395">
        <v>10</v>
      </c>
      <c r="I395" t="s">
        <v>230</v>
      </c>
      <c r="J395" t="s">
        <v>19</v>
      </c>
      <c r="K395">
        <v>40</v>
      </c>
      <c r="L395">
        <f t="shared" si="24"/>
        <v>350</v>
      </c>
      <c r="M395">
        <f t="shared" si="25"/>
        <v>10</v>
      </c>
      <c r="N395">
        <f t="shared" si="26"/>
        <v>280</v>
      </c>
      <c r="O395" s="5">
        <f t="shared" si="27"/>
        <v>60</v>
      </c>
    </row>
    <row r="396" spans="1:15" x14ac:dyDescent="0.3">
      <c r="A396" t="s">
        <v>418</v>
      </c>
      <c r="B396" s="3">
        <v>46153</v>
      </c>
      <c r="C396" t="s">
        <v>229</v>
      </c>
      <c r="D396" t="s">
        <v>34</v>
      </c>
      <c r="E396">
        <v>8</v>
      </c>
      <c r="F396">
        <v>50</v>
      </c>
      <c r="G396">
        <v>0</v>
      </c>
      <c r="H396">
        <v>15</v>
      </c>
      <c r="I396" t="s">
        <v>230</v>
      </c>
      <c r="J396" t="s">
        <v>19</v>
      </c>
      <c r="K396">
        <v>40</v>
      </c>
      <c r="L396">
        <f t="shared" si="24"/>
        <v>400</v>
      </c>
      <c r="M396">
        <f t="shared" si="25"/>
        <v>0</v>
      </c>
      <c r="N396">
        <f t="shared" si="26"/>
        <v>320</v>
      </c>
      <c r="O396" s="5">
        <f t="shared" si="27"/>
        <v>65</v>
      </c>
    </row>
    <row r="397" spans="1:15" x14ac:dyDescent="0.3">
      <c r="A397" t="s">
        <v>419</v>
      </c>
      <c r="B397" s="3">
        <v>46300</v>
      </c>
      <c r="C397" t="s">
        <v>229</v>
      </c>
      <c r="D397" t="s">
        <v>17</v>
      </c>
      <c r="E397">
        <v>11</v>
      </c>
      <c r="F397">
        <v>50</v>
      </c>
      <c r="G397">
        <v>0</v>
      </c>
      <c r="H397">
        <v>20</v>
      </c>
      <c r="I397" t="s">
        <v>230</v>
      </c>
      <c r="J397" t="s">
        <v>19</v>
      </c>
      <c r="K397">
        <v>40</v>
      </c>
      <c r="L397">
        <f t="shared" si="24"/>
        <v>550</v>
      </c>
      <c r="M397">
        <f t="shared" si="25"/>
        <v>0</v>
      </c>
      <c r="N397">
        <f t="shared" si="26"/>
        <v>440</v>
      </c>
      <c r="O397" s="5">
        <f t="shared" si="27"/>
        <v>90</v>
      </c>
    </row>
    <row r="398" spans="1:15" x14ac:dyDescent="0.3">
      <c r="A398" t="s">
        <v>420</v>
      </c>
      <c r="B398" s="3">
        <v>46142</v>
      </c>
      <c r="C398" t="s">
        <v>229</v>
      </c>
      <c r="D398" t="s">
        <v>22</v>
      </c>
      <c r="E398">
        <v>21</v>
      </c>
      <c r="F398">
        <v>50</v>
      </c>
      <c r="G398">
        <v>0.35</v>
      </c>
      <c r="H398">
        <v>5</v>
      </c>
      <c r="I398" t="s">
        <v>230</v>
      </c>
      <c r="J398" t="s">
        <v>19</v>
      </c>
      <c r="K398">
        <v>40</v>
      </c>
      <c r="L398">
        <f t="shared" si="24"/>
        <v>1050</v>
      </c>
      <c r="M398">
        <f t="shared" si="25"/>
        <v>17.5</v>
      </c>
      <c r="N398">
        <f t="shared" si="26"/>
        <v>840</v>
      </c>
      <c r="O398" s="5">
        <f t="shared" si="27"/>
        <v>205</v>
      </c>
    </row>
    <row r="399" spans="1:15" x14ac:dyDescent="0.3">
      <c r="A399" t="s">
        <v>421</v>
      </c>
      <c r="B399" s="3">
        <v>46286</v>
      </c>
      <c r="C399" t="s">
        <v>229</v>
      </c>
      <c r="D399" t="s">
        <v>17</v>
      </c>
      <c r="E399">
        <v>6</v>
      </c>
      <c r="F399">
        <v>50</v>
      </c>
      <c r="G399">
        <v>0.2</v>
      </c>
      <c r="H399">
        <v>15</v>
      </c>
      <c r="I399" t="s">
        <v>230</v>
      </c>
      <c r="J399" t="s">
        <v>19</v>
      </c>
      <c r="K399">
        <v>40</v>
      </c>
      <c r="L399">
        <f t="shared" si="24"/>
        <v>300</v>
      </c>
      <c r="M399">
        <f t="shared" si="25"/>
        <v>10</v>
      </c>
      <c r="N399">
        <f t="shared" si="26"/>
        <v>240</v>
      </c>
      <c r="O399" s="5">
        <f t="shared" si="27"/>
        <v>45</v>
      </c>
    </row>
    <row r="400" spans="1:15" x14ac:dyDescent="0.3">
      <c r="A400" t="s">
        <v>422</v>
      </c>
      <c r="B400" s="3">
        <v>46031</v>
      </c>
      <c r="C400" t="s">
        <v>229</v>
      </c>
      <c r="D400" t="s">
        <v>17</v>
      </c>
      <c r="E400">
        <v>23</v>
      </c>
      <c r="F400">
        <v>50</v>
      </c>
      <c r="G400">
        <v>0.35</v>
      </c>
      <c r="H400">
        <v>5</v>
      </c>
      <c r="I400" t="s">
        <v>230</v>
      </c>
      <c r="J400" t="s">
        <v>19</v>
      </c>
      <c r="K400">
        <v>40</v>
      </c>
      <c r="L400">
        <f t="shared" si="24"/>
        <v>1150</v>
      </c>
      <c r="M400">
        <f t="shared" si="25"/>
        <v>17.5</v>
      </c>
      <c r="N400">
        <f t="shared" si="26"/>
        <v>920</v>
      </c>
      <c r="O400" s="5">
        <f t="shared" si="27"/>
        <v>225</v>
      </c>
    </row>
    <row r="401" spans="1:15" x14ac:dyDescent="0.3">
      <c r="A401" t="s">
        <v>423</v>
      </c>
      <c r="B401" s="3">
        <v>46069</v>
      </c>
      <c r="C401" t="s">
        <v>229</v>
      </c>
      <c r="D401" t="s">
        <v>17</v>
      </c>
      <c r="E401">
        <v>22</v>
      </c>
      <c r="F401">
        <v>50</v>
      </c>
      <c r="G401">
        <v>0.2</v>
      </c>
      <c r="H401">
        <v>5</v>
      </c>
      <c r="I401" t="s">
        <v>230</v>
      </c>
      <c r="J401" t="s">
        <v>19</v>
      </c>
      <c r="K401">
        <v>40</v>
      </c>
      <c r="L401">
        <f t="shared" si="24"/>
        <v>1100</v>
      </c>
      <c r="M401">
        <f t="shared" si="25"/>
        <v>10</v>
      </c>
      <c r="N401">
        <f t="shared" si="26"/>
        <v>880</v>
      </c>
      <c r="O401" s="5">
        <f t="shared" si="27"/>
        <v>215</v>
      </c>
    </row>
    <row r="402" spans="1:15" x14ac:dyDescent="0.3">
      <c r="A402" t="s">
        <v>424</v>
      </c>
      <c r="B402" s="3">
        <v>46077</v>
      </c>
      <c r="C402" t="s">
        <v>229</v>
      </c>
      <c r="D402" t="s">
        <v>34</v>
      </c>
      <c r="E402">
        <v>14</v>
      </c>
      <c r="F402">
        <v>50</v>
      </c>
      <c r="G402">
        <v>0.2</v>
      </c>
      <c r="H402">
        <v>10</v>
      </c>
      <c r="I402" t="s">
        <v>230</v>
      </c>
      <c r="J402" t="s">
        <v>19</v>
      </c>
      <c r="K402">
        <v>40</v>
      </c>
      <c r="L402">
        <f t="shared" si="24"/>
        <v>700</v>
      </c>
      <c r="M402">
        <f t="shared" si="25"/>
        <v>10</v>
      </c>
      <c r="N402">
        <f t="shared" si="26"/>
        <v>560</v>
      </c>
      <c r="O402" s="5">
        <f t="shared" si="27"/>
        <v>130</v>
      </c>
    </row>
    <row r="403" spans="1:15" x14ac:dyDescent="0.3">
      <c r="A403" t="s">
        <v>425</v>
      </c>
      <c r="B403" s="3">
        <v>46211</v>
      </c>
      <c r="C403" t="s">
        <v>229</v>
      </c>
      <c r="D403" t="s">
        <v>22</v>
      </c>
      <c r="E403">
        <v>6</v>
      </c>
      <c r="F403">
        <v>50</v>
      </c>
      <c r="G403">
        <v>0</v>
      </c>
      <c r="H403">
        <v>15</v>
      </c>
      <c r="I403" t="s">
        <v>230</v>
      </c>
      <c r="J403" t="s">
        <v>19</v>
      </c>
      <c r="K403">
        <v>40</v>
      </c>
      <c r="L403">
        <f t="shared" si="24"/>
        <v>300</v>
      </c>
      <c r="M403">
        <f t="shared" si="25"/>
        <v>0</v>
      </c>
      <c r="N403">
        <f t="shared" si="26"/>
        <v>240</v>
      </c>
      <c r="O403" s="5">
        <f t="shared" si="27"/>
        <v>45</v>
      </c>
    </row>
    <row r="404" spans="1:15" x14ac:dyDescent="0.3">
      <c r="A404" t="s">
        <v>426</v>
      </c>
      <c r="B404" s="3">
        <v>46246</v>
      </c>
      <c r="C404" t="s">
        <v>229</v>
      </c>
      <c r="D404" t="s">
        <v>34</v>
      </c>
      <c r="E404">
        <v>22</v>
      </c>
      <c r="F404">
        <v>50</v>
      </c>
      <c r="G404">
        <v>0.2</v>
      </c>
      <c r="H404">
        <v>10</v>
      </c>
      <c r="I404" t="s">
        <v>230</v>
      </c>
      <c r="J404" t="s">
        <v>19</v>
      </c>
      <c r="K404">
        <v>40</v>
      </c>
      <c r="L404">
        <f t="shared" si="24"/>
        <v>1100</v>
      </c>
      <c r="M404">
        <f t="shared" si="25"/>
        <v>10</v>
      </c>
      <c r="N404">
        <f t="shared" si="26"/>
        <v>880</v>
      </c>
      <c r="O404" s="5">
        <f t="shared" si="27"/>
        <v>210</v>
      </c>
    </row>
    <row r="405" spans="1:15" x14ac:dyDescent="0.3">
      <c r="A405" t="s">
        <v>427</v>
      </c>
      <c r="B405" s="3">
        <v>46082</v>
      </c>
      <c r="C405" t="s">
        <v>229</v>
      </c>
      <c r="D405" t="s">
        <v>17</v>
      </c>
      <c r="E405">
        <v>16</v>
      </c>
      <c r="F405">
        <v>50</v>
      </c>
      <c r="G405">
        <v>0.1</v>
      </c>
      <c r="H405">
        <v>20</v>
      </c>
      <c r="I405" t="s">
        <v>230</v>
      </c>
      <c r="J405" t="s">
        <v>19</v>
      </c>
      <c r="K405">
        <v>40</v>
      </c>
      <c r="L405">
        <f t="shared" si="24"/>
        <v>800</v>
      </c>
      <c r="M405">
        <f t="shared" si="25"/>
        <v>5</v>
      </c>
      <c r="N405">
        <f t="shared" si="26"/>
        <v>640</v>
      </c>
      <c r="O405" s="5">
        <f t="shared" si="27"/>
        <v>140</v>
      </c>
    </row>
    <row r="406" spans="1:15" x14ac:dyDescent="0.3">
      <c r="A406" t="s">
        <v>428</v>
      </c>
      <c r="B406" s="3">
        <v>46174</v>
      </c>
      <c r="C406" t="s">
        <v>229</v>
      </c>
      <c r="D406" t="s">
        <v>22</v>
      </c>
      <c r="E406">
        <v>4</v>
      </c>
      <c r="F406">
        <v>50</v>
      </c>
      <c r="G406">
        <v>0</v>
      </c>
      <c r="H406">
        <v>5</v>
      </c>
      <c r="I406" t="s">
        <v>230</v>
      </c>
      <c r="J406" t="s">
        <v>19</v>
      </c>
      <c r="K406">
        <v>40</v>
      </c>
      <c r="L406">
        <f t="shared" si="24"/>
        <v>200</v>
      </c>
      <c r="M406">
        <f t="shared" si="25"/>
        <v>0</v>
      </c>
      <c r="N406">
        <f t="shared" si="26"/>
        <v>160</v>
      </c>
      <c r="O406" s="5">
        <f t="shared" si="27"/>
        <v>35</v>
      </c>
    </row>
    <row r="407" spans="1:15" x14ac:dyDescent="0.3">
      <c r="A407" t="s">
        <v>429</v>
      </c>
      <c r="B407" s="3">
        <v>46076</v>
      </c>
      <c r="C407" t="s">
        <v>229</v>
      </c>
      <c r="D407" t="s">
        <v>22</v>
      </c>
      <c r="E407">
        <v>1</v>
      </c>
      <c r="F407">
        <v>50</v>
      </c>
      <c r="G407">
        <v>0.2</v>
      </c>
      <c r="H407">
        <v>5</v>
      </c>
      <c r="I407" t="s">
        <v>230</v>
      </c>
      <c r="J407" t="s">
        <v>19</v>
      </c>
      <c r="K407">
        <v>40</v>
      </c>
      <c r="L407">
        <f t="shared" si="24"/>
        <v>50</v>
      </c>
      <c r="M407">
        <f t="shared" si="25"/>
        <v>10</v>
      </c>
      <c r="N407">
        <f t="shared" si="26"/>
        <v>40</v>
      </c>
      <c r="O407" s="5">
        <f t="shared" si="27"/>
        <v>5</v>
      </c>
    </row>
    <row r="408" spans="1:15" x14ac:dyDescent="0.3">
      <c r="A408" t="s">
        <v>430</v>
      </c>
      <c r="B408" s="3">
        <v>46194</v>
      </c>
      <c r="C408" t="s">
        <v>229</v>
      </c>
      <c r="D408" t="s">
        <v>22</v>
      </c>
      <c r="E408">
        <v>23</v>
      </c>
      <c r="F408">
        <v>50</v>
      </c>
      <c r="G408">
        <v>0.1</v>
      </c>
      <c r="H408">
        <v>10</v>
      </c>
      <c r="I408" t="s">
        <v>230</v>
      </c>
      <c r="J408" t="s">
        <v>19</v>
      </c>
      <c r="K408">
        <v>40</v>
      </c>
      <c r="L408">
        <f t="shared" si="24"/>
        <v>1150</v>
      </c>
      <c r="M408">
        <f t="shared" si="25"/>
        <v>5</v>
      </c>
      <c r="N408">
        <f t="shared" si="26"/>
        <v>920</v>
      </c>
      <c r="O408" s="5">
        <f t="shared" si="27"/>
        <v>220</v>
      </c>
    </row>
    <row r="409" spans="1:15" x14ac:dyDescent="0.3">
      <c r="A409" t="s">
        <v>431</v>
      </c>
      <c r="B409" s="3">
        <v>46123</v>
      </c>
      <c r="C409" t="s">
        <v>229</v>
      </c>
      <c r="D409" t="s">
        <v>17</v>
      </c>
      <c r="E409">
        <v>6</v>
      </c>
      <c r="F409">
        <v>50</v>
      </c>
      <c r="G409">
        <v>0</v>
      </c>
      <c r="H409">
        <v>20</v>
      </c>
      <c r="I409" t="s">
        <v>230</v>
      </c>
      <c r="J409" t="s">
        <v>19</v>
      </c>
      <c r="K409">
        <v>40</v>
      </c>
      <c r="L409">
        <f t="shared" si="24"/>
        <v>300</v>
      </c>
      <c r="M409">
        <f t="shared" si="25"/>
        <v>0</v>
      </c>
      <c r="N409">
        <f t="shared" si="26"/>
        <v>240</v>
      </c>
      <c r="O409" s="5">
        <f t="shared" si="27"/>
        <v>40</v>
      </c>
    </row>
    <row r="410" spans="1:15" x14ac:dyDescent="0.3">
      <c r="A410" t="s">
        <v>432</v>
      </c>
      <c r="B410" s="3">
        <v>46358</v>
      </c>
      <c r="C410" t="s">
        <v>229</v>
      </c>
      <c r="D410" t="s">
        <v>34</v>
      </c>
      <c r="E410">
        <v>12</v>
      </c>
      <c r="F410">
        <v>50</v>
      </c>
      <c r="G410">
        <v>0</v>
      </c>
      <c r="H410">
        <v>15</v>
      </c>
      <c r="I410" t="s">
        <v>230</v>
      </c>
      <c r="J410" t="s">
        <v>19</v>
      </c>
      <c r="K410">
        <v>40</v>
      </c>
      <c r="L410">
        <f t="shared" si="24"/>
        <v>600</v>
      </c>
      <c r="M410">
        <f t="shared" si="25"/>
        <v>0</v>
      </c>
      <c r="N410">
        <f t="shared" si="26"/>
        <v>480</v>
      </c>
      <c r="O410" s="5">
        <f t="shared" si="27"/>
        <v>105</v>
      </c>
    </row>
    <row r="411" spans="1:15" x14ac:dyDescent="0.3">
      <c r="A411" t="s">
        <v>433</v>
      </c>
      <c r="B411" s="3">
        <v>46050</v>
      </c>
      <c r="C411" t="s">
        <v>229</v>
      </c>
      <c r="D411" t="s">
        <v>24</v>
      </c>
      <c r="E411">
        <v>24</v>
      </c>
      <c r="F411">
        <v>50</v>
      </c>
      <c r="G411">
        <v>0</v>
      </c>
      <c r="H411">
        <v>10</v>
      </c>
      <c r="I411" t="s">
        <v>230</v>
      </c>
      <c r="J411" t="s">
        <v>19</v>
      </c>
      <c r="K411">
        <v>40</v>
      </c>
      <c r="L411">
        <f t="shared" si="24"/>
        <v>1200</v>
      </c>
      <c r="M411">
        <f t="shared" si="25"/>
        <v>0</v>
      </c>
      <c r="N411">
        <f t="shared" si="26"/>
        <v>960</v>
      </c>
      <c r="O411" s="5">
        <f t="shared" si="27"/>
        <v>230</v>
      </c>
    </row>
    <row r="412" spans="1:15" x14ac:dyDescent="0.3">
      <c r="A412" t="s">
        <v>434</v>
      </c>
      <c r="B412" s="3">
        <v>46372</v>
      </c>
      <c r="C412" t="s">
        <v>229</v>
      </c>
      <c r="D412" t="s">
        <v>17</v>
      </c>
      <c r="E412">
        <v>16</v>
      </c>
      <c r="F412">
        <v>50</v>
      </c>
      <c r="G412">
        <v>0.1</v>
      </c>
      <c r="H412">
        <v>5</v>
      </c>
      <c r="I412" t="s">
        <v>230</v>
      </c>
      <c r="J412" t="s">
        <v>19</v>
      </c>
      <c r="K412">
        <v>40</v>
      </c>
      <c r="L412">
        <f t="shared" si="24"/>
        <v>800</v>
      </c>
      <c r="M412">
        <f t="shared" si="25"/>
        <v>5</v>
      </c>
      <c r="N412">
        <f t="shared" si="26"/>
        <v>640</v>
      </c>
      <c r="O412" s="5">
        <f t="shared" si="27"/>
        <v>155</v>
      </c>
    </row>
    <row r="413" spans="1:15" x14ac:dyDescent="0.3">
      <c r="A413" t="s">
        <v>435</v>
      </c>
      <c r="B413" s="3">
        <v>46255</v>
      </c>
      <c r="C413" t="s">
        <v>229</v>
      </c>
      <c r="D413" t="s">
        <v>17</v>
      </c>
      <c r="E413">
        <v>6</v>
      </c>
      <c r="F413">
        <v>50</v>
      </c>
      <c r="G413">
        <v>0.35</v>
      </c>
      <c r="H413">
        <v>5</v>
      </c>
      <c r="I413" t="s">
        <v>230</v>
      </c>
      <c r="J413" t="s">
        <v>19</v>
      </c>
      <c r="K413">
        <v>40</v>
      </c>
      <c r="L413">
        <f t="shared" si="24"/>
        <v>300</v>
      </c>
      <c r="M413">
        <f t="shared" si="25"/>
        <v>17.5</v>
      </c>
      <c r="N413">
        <f t="shared" si="26"/>
        <v>240</v>
      </c>
      <c r="O413" s="5">
        <f t="shared" si="27"/>
        <v>55</v>
      </c>
    </row>
    <row r="414" spans="1:15" x14ac:dyDescent="0.3">
      <c r="A414" t="s">
        <v>436</v>
      </c>
      <c r="B414" s="3">
        <v>46270</v>
      </c>
      <c r="C414" t="s">
        <v>229</v>
      </c>
      <c r="D414" t="s">
        <v>34</v>
      </c>
      <c r="E414">
        <v>1</v>
      </c>
      <c r="F414">
        <v>50</v>
      </c>
      <c r="G414">
        <v>0.2</v>
      </c>
      <c r="H414">
        <v>5</v>
      </c>
      <c r="I414" t="s">
        <v>230</v>
      </c>
      <c r="J414" t="s">
        <v>19</v>
      </c>
      <c r="K414">
        <v>40</v>
      </c>
      <c r="L414">
        <f t="shared" si="24"/>
        <v>50</v>
      </c>
      <c r="M414">
        <f t="shared" si="25"/>
        <v>10</v>
      </c>
      <c r="N414">
        <f t="shared" si="26"/>
        <v>40</v>
      </c>
      <c r="O414" s="5">
        <f t="shared" si="27"/>
        <v>5</v>
      </c>
    </row>
    <row r="415" spans="1:15" x14ac:dyDescent="0.3">
      <c r="A415" t="s">
        <v>437</v>
      </c>
      <c r="B415" s="3">
        <v>46272</v>
      </c>
      <c r="C415" t="s">
        <v>229</v>
      </c>
      <c r="D415" t="s">
        <v>34</v>
      </c>
      <c r="E415">
        <v>6</v>
      </c>
      <c r="F415">
        <v>50</v>
      </c>
      <c r="G415">
        <v>0</v>
      </c>
      <c r="H415">
        <v>10</v>
      </c>
      <c r="I415" t="s">
        <v>230</v>
      </c>
      <c r="J415" t="s">
        <v>19</v>
      </c>
      <c r="K415">
        <v>40</v>
      </c>
      <c r="L415">
        <f t="shared" si="24"/>
        <v>300</v>
      </c>
      <c r="M415">
        <f t="shared" si="25"/>
        <v>0</v>
      </c>
      <c r="N415">
        <f t="shared" si="26"/>
        <v>240</v>
      </c>
      <c r="O415" s="5">
        <f t="shared" si="27"/>
        <v>50</v>
      </c>
    </row>
    <row r="416" spans="1:15" x14ac:dyDescent="0.3">
      <c r="A416" t="s">
        <v>438</v>
      </c>
      <c r="B416" s="3">
        <v>46129</v>
      </c>
      <c r="C416" t="s">
        <v>229</v>
      </c>
      <c r="D416" t="s">
        <v>24</v>
      </c>
      <c r="E416">
        <v>18</v>
      </c>
      <c r="F416">
        <v>50</v>
      </c>
      <c r="G416">
        <v>0.35</v>
      </c>
      <c r="H416">
        <v>10</v>
      </c>
      <c r="I416" t="s">
        <v>230</v>
      </c>
      <c r="J416" t="s">
        <v>19</v>
      </c>
      <c r="K416">
        <v>40</v>
      </c>
      <c r="L416">
        <f t="shared" si="24"/>
        <v>900</v>
      </c>
      <c r="M416">
        <f t="shared" si="25"/>
        <v>17.5</v>
      </c>
      <c r="N416">
        <f t="shared" si="26"/>
        <v>720</v>
      </c>
      <c r="O416" s="5">
        <f t="shared" si="27"/>
        <v>170</v>
      </c>
    </row>
    <row r="417" spans="1:15" x14ac:dyDescent="0.3">
      <c r="A417" t="s">
        <v>439</v>
      </c>
      <c r="B417" s="3">
        <v>46319</v>
      </c>
      <c r="C417" t="s">
        <v>229</v>
      </c>
      <c r="D417" t="s">
        <v>24</v>
      </c>
      <c r="E417">
        <v>24</v>
      </c>
      <c r="F417">
        <v>50</v>
      </c>
      <c r="G417">
        <v>0.2</v>
      </c>
      <c r="H417">
        <v>5</v>
      </c>
      <c r="I417" t="s">
        <v>230</v>
      </c>
      <c r="J417" t="s">
        <v>19</v>
      </c>
      <c r="K417">
        <v>40</v>
      </c>
      <c r="L417">
        <f t="shared" si="24"/>
        <v>1200</v>
      </c>
      <c r="M417">
        <f t="shared" si="25"/>
        <v>10</v>
      </c>
      <c r="N417">
        <f t="shared" si="26"/>
        <v>960</v>
      </c>
      <c r="O417" s="5">
        <f t="shared" si="27"/>
        <v>235</v>
      </c>
    </row>
    <row r="418" spans="1:15" x14ac:dyDescent="0.3">
      <c r="A418" t="s">
        <v>440</v>
      </c>
      <c r="B418" s="3">
        <v>46095</v>
      </c>
      <c r="C418" t="s">
        <v>229</v>
      </c>
      <c r="D418" t="s">
        <v>22</v>
      </c>
      <c r="E418">
        <v>10</v>
      </c>
      <c r="F418">
        <v>50</v>
      </c>
      <c r="G418">
        <v>0.2</v>
      </c>
      <c r="H418">
        <v>10</v>
      </c>
      <c r="I418" t="s">
        <v>230</v>
      </c>
      <c r="J418" t="s">
        <v>19</v>
      </c>
      <c r="K418">
        <v>40</v>
      </c>
      <c r="L418">
        <f t="shared" si="24"/>
        <v>500</v>
      </c>
      <c r="M418">
        <f t="shared" si="25"/>
        <v>10</v>
      </c>
      <c r="N418">
        <f t="shared" si="26"/>
        <v>400</v>
      </c>
      <c r="O418" s="5">
        <f t="shared" si="27"/>
        <v>90</v>
      </c>
    </row>
    <row r="419" spans="1:15" x14ac:dyDescent="0.3">
      <c r="A419" t="s">
        <v>441</v>
      </c>
      <c r="B419" s="3">
        <v>46332</v>
      </c>
      <c r="C419" t="s">
        <v>229</v>
      </c>
      <c r="D419" t="s">
        <v>22</v>
      </c>
      <c r="E419">
        <v>1</v>
      </c>
      <c r="F419">
        <v>50</v>
      </c>
      <c r="G419">
        <v>0.35</v>
      </c>
      <c r="H419">
        <v>5</v>
      </c>
      <c r="I419" t="s">
        <v>230</v>
      </c>
      <c r="J419" t="s">
        <v>19</v>
      </c>
      <c r="K419">
        <v>40</v>
      </c>
      <c r="L419">
        <f t="shared" si="24"/>
        <v>50</v>
      </c>
      <c r="M419">
        <f t="shared" si="25"/>
        <v>17.5</v>
      </c>
      <c r="N419">
        <f t="shared" si="26"/>
        <v>40</v>
      </c>
      <c r="O419" s="5">
        <f t="shared" si="27"/>
        <v>5</v>
      </c>
    </row>
    <row r="420" spans="1:15" x14ac:dyDescent="0.3">
      <c r="A420" t="s">
        <v>442</v>
      </c>
      <c r="B420" s="3">
        <v>46215</v>
      </c>
      <c r="C420" t="s">
        <v>443</v>
      </c>
      <c r="D420" t="s">
        <v>34</v>
      </c>
      <c r="E420">
        <v>24</v>
      </c>
      <c r="F420">
        <v>450</v>
      </c>
      <c r="G420">
        <v>0.35</v>
      </c>
      <c r="H420">
        <v>5</v>
      </c>
      <c r="I420" t="s">
        <v>444</v>
      </c>
      <c r="J420" t="s">
        <v>445</v>
      </c>
      <c r="K420">
        <v>150</v>
      </c>
      <c r="L420">
        <f t="shared" si="24"/>
        <v>10800</v>
      </c>
      <c r="M420">
        <f t="shared" si="25"/>
        <v>157.5</v>
      </c>
      <c r="N420">
        <f t="shared" si="26"/>
        <v>3600</v>
      </c>
      <c r="O420" s="5">
        <f t="shared" si="27"/>
        <v>7195</v>
      </c>
    </row>
    <row r="421" spans="1:15" x14ac:dyDescent="0.3">
      <c r="A421" t="s">
        <v>446</v>
      </c>
      <c r="B421" s="3">
        <v>46117</v>
      </c>
      <c r="C421" t="s">
        <v>443</v>
      </c>
      <c r="D421" t="s">
        <v>34</v>
      </c>
      <c r="E421">
        <v>12</v>
      </c>
      <c r="F421">
        <v>450</v>
      </c>
      <c r="G421">
        <v>0</v>
      </c>
      <c r="H421">
        <v>10</v>
      </c>
      <c r="I421" t="s">
        <v>444</v>
      </c>
      <c r="J421" t="s">
        <v>445</v>
      </c>
      <c r="K421">
        <v>150</v>
      </c>
      <c r="L421">
        <f t="shared" si="24"/>
        <v>5400</v>
      </c>
      <c r="M421">
        <f t="shared" si="25"/>
        <v>0</v>
      </c>
      <c r="N421">
        <f t="shared" si="26"/>
        <v>1800</v>
      </c>
      <c r="O421" s="5">
        <f t="shared" si="27"/>
        <v>3590</v>
      </c>
    </row>
    <row r="422" spans="1:15" x14ac:dyDescent="0.3">
      <c r="A422" t="s">
        <v>447</v>
      </c>
      <c r="B422" s="3">
        <v>46053</v>
      </c>
      <c r="C422" t="s">
        <v>443</v>
      </c>
      <c r="D422" t="s">
        <v>34</v>
      </c>
      <c r="E422">
        <v>23</v>
      </c>
      <c r="F422">
        <v>450</v>
      </c>
      <c r="G422">
        <v>0</v>
      </c>
      <c r="H422">
        <v>5</v>
      </c>
      <c r="I422" t="s">
        <v>444</v>
      </c>
      <c r="J422" t="s">
        <v>445</v>
      </c>
      <c r="K422">
        <v>150</v>
      </c>
      <c r="L422">
        <f t="shared" si="24"/>
        <v>10350</v>
      </c>
      <c r="M422">
        <f t="shared" si="25"/>
        <v>0</v>
      </c>
      <c r="N422">
        <f t="shared" si="26"/>
        <v>3450</v>
      </c>
      <c r="O422" s="5">
        <f t="shared" si="27"/>
        <v>6895</v>
      </c>
    </row>
    <row r="423" spans="1:15" x14ac:dyDescent="0.3">
      <c r="A423" t="s">
        <v>448</v>
      </c>
      <c r="B423" s="3">
        <v>46259</v>
      </c>
      <c r="C423" t="s">
        <v>443</v>
      </c>
      <c r="D423" t="s">
        <v>17</v>
      </c>
      <c r="E423">
        <v>19</v>
      </c>
      <c r="F423">
        <v>450</v>
      </c>
      <c r="G423">
        <v>0</v>
      </c>
      <c r="H423">
        <v>20</v>
      </c>
      <c r="I423" t="s">
        <v>444</v>
      </c>
      <c r="J423" t="s">
        <v>445</v>
      </c>
      <c r="K423">
        <v>150</v>
      </c>
      <c r="L423">
        <f t="shared" si="24"/>
        <v>8550</v>
      </c>
      <c r="M423">
        <f t="shared" si="25"/>
        <v>0</v>
      </c>
      <c r="N423">
        <f t="shared" si="26"/>
        <v>2850</v>
      </c>
      <c r="O423" s="5">
        <f t="shared" si="27"/>
        <v>5680</v>
      </c>
    </row>
    <row r="424" spans="1:15" x14ac:dyDescent="0.3">
      <c r="A424" t="s">
        <v>449</v>
      </c>
      <c r="B424" s="3">
        <v>46133</v>
      </c>
      <c r="C424" t="s">
        <v>443</v>
      </c>
      <c r="D424" t="s">
        <v>17</v>
      </c>
      <c r="E424">
        <v>8</v>
      </c>
      <c r="F424">
        <v>450</v>
      </c>
      <c r="G424">
        <v>0.2</v>
      </c>
      <c r="H424">
        <v>15</v>
      </c>
      <c r="I424" t="s">
        <v>444</v>
      </c>
      <c r="J424" t="s">
        <v>445</v>
      </c>
      <c r="K424">
        <v>150</v>
      </c>
      <c r="L424">
        <f t="shared" si="24"/>
        <v>3600</v>
      </c>
      <c r="M424">
        <f t="shared" si="25"/>
        <v>90</v>
      </c>
      <c r="N424">
        <f t="shared" si="26"/>
        <v>1200</v>
      </c>
      <c r="O424" s="5">
        <f t="shared" si="27"/>
        <v>2385</v>
      </c>
    </row>
    <row r="425" spans="1:15" x14ac:dyDescent="0.3">
      <c r="A425" t="s">
        <v>450</v>
      </c>
      <c r="B425" s="3">
        <v>46080</v>
      </c>
      <c r="C425" t="s">
        <v>443</v>
      </c>
      <c r="D425" t="s">
        <v>17</v>
      </c>
      <c r="E425">
        <v>22</v>
      </c>
      <c r="F425">
        <v>450</v>
      </c>
      <c r="G425">
        <v>0.35</v>
      </c>
      <c r="H425">
        <v>10</v>
      </c>
      <c r="I425" t="s">
        <v>444</v>
      </c>
      <c r="J425" t="s">
        <v>445</v>
      </c>
      <c r="K425">
        <v>150</v>
      </c>
      <c r="L425">
        <f t="shared" si="24"/>
        <v>9900</v>
      </c>
      <c r="M425">
        <f t="shared" si="25"/>
        <v>157.5</v>
      </c>
      <c r="N425">
        <f t="shared" si="26"/>
        <v>3300</v>
      </c>
      <c r="O425" s="5">
        <f t="shared" si="27"/>
        <v>6590</v>
      </c>
    </row>
    <row r="426" spans="1:15" x14ac:dyDescent="0.3">
      <c r="A426" t="s">
        <v>451</v>
      </c>
      <c r="B426" s="3">
        <v>46217</v>
      </c>
      <c r="C426" t="s">
        <v>443</v>
      </c>
      <c r="D426" t="s">
        <v>24</v>
      </c>
      <c r="E426">
        <v>22</v>
      </c>
      <c r="F426">
        <v>450</v>
      </c>
      <c r="G426">
        <v>0.35</v>
      </c>
      <c r="H426">
        <v>10</v>
      </c>
      <c r="I426" t="s">
        <v>444</v>
      </c>
      <c r="J426" t="s">
        <v>445</v>
      </c>
      <c r="K426">
        <v>150</v>
      </c>
      <c r="L426">
        <f t="shared" si="24"/>
        <v>9900</v>
      </c>
      <c r="M426">
        <f t="shared" si="25"/>
        <v>157.5</v>
      </c>
      <c r="N426">
        <f t="shared" si="26"/>
        <v>3300</v>
      </c>
      <c r="O426" s="5">
        <f t="shared" si="27"/>
        <v>6590</v>
      </c>
    </row>
    <row r="427" spans="1:15" x14ac:dyDescent="0.3">
      <c r="A427" t="s">
        <v>452</v>
      </c>
      <c r="B427" s="3">
        <v>46283</v>
      </c>
      <c r="C427" t="s">
        <v>443</v>
      </c>
      <c r="D427" t="s">
        <v>22</v>
      </c>
      <c r="E427">
        <v>24</v>
      </c>
      <c r="F427">
        <v>450</v>
      </c>
      <c r="G427">
        <v>0.35</v>
      </c>
      <c r="H427">
        <v>5</v>
      </c>
      <c r="I427" t="s">
        <v>444</v>
      </c>
      <c r="J427" t="s">
        <v>445</v>
      </c>
      <c r="K427">
        <v>150</v>
      </c>
      <c r="L427">
        <f t="shared" si="24"/>
        <v>10800</v>
      </c>
      <c r="M427">
        <f t="shared" si="25"/>
        <v>157.5</v>
      </c>
      <c r="N427">
        <f t="shared" si="26"/>
        <v>3600</v>
      </c>
      <c r="O427" s="5">
        <f t="shared" si="27"/>
        <v>7195</v>
      </c>
    </row>
    <row r="428" spans="1:15" x14ac:dyDescent="0.3">
      <c r="A428" t="s">
        <v>453</v>
      </c>
      <c r="B428" s="3">
        <v>46356</v>
      </c>
      <c r="C428" t="s">
        <v>443</v>
      </c>
      <c r="D428" t="s">
        <v>17</v>
      </c>
      <c r="E428">
        <v>17</v>
      </c>
      <c r="F428">
        <v>450</v>
      </c>
      <c r="G428">
        <v>0</v>
      </c>
      <c r="H428">
        <v>20</v>
      </c>
      <c r="I428" t="s">
        <v>444</v>
      </c>
      <c r="J428" t="s">
        <v>445</v>
      </c>
      <c r="K428">
        <v>150</v>
      </c>
      <c r="L428">
        <f t="shared" si="24"/>
        <v>7650</v>
      </c>
      <c r="M428">
        <f t="shared" si="25"/>
        <v>0</v>
      </c>
      <c r="N428">
        <f t="shared" si="26"/>
        <v>2550</v>
      </c>
      <c r="O428" s="5">
        <f t="shared" si="27"/>
        <v>5080</v>
      </c>
    </row>
    <row r="429" spans="1:15" x14ac:dyDescent="0.3">
      <c r="A429" t="s">
        <v>454</v>
      </c>
      <c r="B429" s="3">
        <v>46229</v>
      </c>
      <c r="C429" t="s">
        <v>443</v>
      </c>
      <c r="D429" t="s">
        <v>24</v>
      </c>
      <c r="E429">
        <v>16</v>
      </c>
      <c r="F429">
        <v>450</v>
      </c>
      <c r="G429">
        <v>0</v>
      </c>
      <c r="H429">
        <v>15</v>
      </c>
      <c r="I429" t="s">
        <v>444</v>
      </c>
      <c r="J429" t="s">
        <v>445</v>
      </c>
      <c r="K429">
        <v>150</v>
      </c>
      <c r="L429">
        <f t="shared" si="24"/>
        <v>7200</v>
      </c>
      <c r="M429">
        <f t="shared" si="25"/>
        <v>0</v>
      </c>
      <c r="N429">
        <f t="shared" si="26"/>
        <v>2400</v>
      </c>
      <c r="O429" s="5">
        <f t="shared" si="27"/>
        <v>4785</v>
      </c>
    </row>
    <row r="430" spans="1:15" x14ac:dyDescent="0.3">
      <c r="A430" t="s">
        <v>455</v>
      </c>
      <c r="B430" s="3">
        <v>46315</v>
      </c>
      <c r="C430" t="s">
        <v>443</v>
      </c>
      <c r="D430" t="s">
        <v>22</v>
      </c>
      <c r="E430">
        <v>18</v>
      </c>
      <c r="F430">
        <v>450</v>
      </c>
      <c r="G430">
        <v>0.1</v>
      </c>
      <c r="H430">
        <v>20</v>
      </c>
      <c r="I430" t="s">
        <v>444</v>
      </c>
      <c r="J430" t="s">
        <v>445</v>
      </c>
      <c r="K430">
        <v>150</v>
      </c>
      <c r="L430">
        <f t="shared" si="24"/>
        <v>8100</v>
      </c>
      <c r="M430">
        <f t="shared" si="25"/>
        <v>45</v>
      </c>
      <c r="N430">
        <f t="shared" si="26"/>
        <v>2700</v>
      </c>
      <c r="O430" s="5">
        <f t="shared" si="27"/>
        <v>5380</v>
      </c>
    </row>
    <row r="431" spans="1:15" x14ac:dyDescent="0.3">
      <c r="A431" t="s">
        <v>456</v>
      </c>
      <c r="B431" s="3">
        <v>46103</v>
      </c>
      <c r="C431" t="s">
        <v>443</v>
      </c>
      <c r="D431" t="s">
        <v>34</v>
      </c>
      <c r="E431">
        <v>5</v>
      </c>
      <c r="F431">
        <v>450</v>
      </c>
      <c r="G431">
        <v>0.1</v>
      </c>
      <c r="H431">
        <v>10</v>
      </c>
      <c r="I431" t="s">
        <v>444</v>
      </c>
      <c r="J431" t="s">
        <v>445</v>
      </c>
      <c r="K431">
        <v>150</v>
      </c>
      <c r="L431">
        <f t="shared" si="24"/>
        <v>2250</v>
      </c>
      <c r="M431">
        <f t="shared" si="25"/>
        <v>45</v>
      </c>
      <c r="N431">
        <f t="shared" si="26"/>
        <v>750</v>
      </c>
      <c r="O431" s="5">
        <f t="shared" si="27"/>
        <v>1490</v>
      </c>
    </row>
    <row r="432" spans="1:15" x14ac:dyDescent="0.3">
      <c r="A432" t="s">
        <v>457</v>
      </c>
      <c r="B432" s="3">
        <v>46195</v>
      </c>
      <c r="C432" t="s">
        <v>443</v>
      </c>
      <c r="D432" t="s">
        <v>22</v>
      </c>
      <c r="E432">
        <v>8</v>
      </c>
      <c r="F432">
        <v>450</v>
      </c>
      <c r="G432">
        <v>0</v>
      </c>
      <c r="H432">
        <v>15</v>
      </c>
      <c r="I432" t="s">
        <v>444</v>
      </c>
      <c r="J432" t="s">
        <v>445</v>
      </c>
      <c r="K432">
        <v>150</v>
      </c>
      <c r="L432">
        <f t="shared" si="24"/>
        <v>3600</v>
      </c>
      <c r="M432">
        <f t="shared" si="25"/>
        <v>0</v>
      </c>
      <c r="N432">
        <f t="shared" si="26"/>
        <v>1200</v>
      </c>
      <c r="O432" s="5">
        <f t="shared" si="27"/>
        <v>2385</v>
      </c>
    </row>
    <row r="433" spans="1:15" x14ac:dyDescent="0.3">
      <c r="A433" t="s">
        <v>458</v>
      </c>
      <c r="B433" s="3">
        <v>46375</v>
      </c>
      <c r="C433" t="s">
        <v>443</v>
      </c>
      <c r="D433" t="s">
        <v>24</v>
      </c>
      <c r="E433">
        <v>12</v>
      </c>
      <c r="F433">
        <v>450</v>
      </c>
      <c r="G433">
        <v>0.35</v>
      </c>
      <c r="H433">
        <v>5</v>
      </c>
      <c r="I433" t="s">
        <v>444</v>
      </c>
      <c r="J433" t="s">
        <v>445</v>
      </c>
      <c r="K433">
        <v>150</v>
      </c>
      <c r="L433">
        <f t="shared" si="24"/>
        <v>5400</v>
      </c>
      <c r="M433">
        <f t="shared" si="25"/>
        <v>157.5</v>
      </c>
      <c r="N433">
        <f t="shared" si="26"/>
        <v>1800</v>
      </c>
      <c r="O433" s="5">
        <f t="shared" si="27"/>
        <v>3595</v>
      </c>
    </row>
    <row r="434" spans="1:15" x14ac:dyDescent="0.3">
      <c r="A434" t="s">
        <v>459</v>
      </c>
      <c r="B434" s="3">
        <v>46200</v>
      </c>
      <c r="C434" t="s">
        <v>443</v>
      </c>
      <c r="D434" t="s">
        <v>34</v>
      </c>
      <c r="E434">
        <v>6</v>
      </c>
      <c r="F434">
        <v>450</v>
      </c>
      <c r="G434">
        <v>0</v>
      </c>
      <c r="H434">
        <v>15</v>
      </c>
      <c r="I434" t="s">
        <v>444</v>
      </c>
      <c r="J434" t="s">
        <v>445</v>
      </c>
      <c r="K434">
        <v>150</v>
      </c>
      <c r="L434">
        <f t="shared" si="24"/>
        <v>2700</v>
      </c>
      <c r="M434">
        <f t="shared" si="25"/>
        <v>0</v>
      </c>
      <c r="N434">
        <f t="shared" si="26"/>
        <v>900</v>
      </c>
      <c r="O434" s="5">
        <f t="shared" si="27"/>
        <v>1785</v>
      </c>
    </row>
    <row r="435" spans="1:15" x14ac:dyDescent="0.3">
      <c r="A435" t="s">
        <v>460</v>
      </c>
      <c r="B435" s="3">
        <v>46162</v>
      </c>
      <c r="C435" t="s">
        <v>443</v>
      </c>
      <c r="D435" t="s">
        <v>22</v>
      </c>
      <c r="E435">
        <v>7</v>
      </c>
      <c r="F435">
        <v>450</v>
      </c>
      <c r="G435">
        <v>0</v>
      </c>
      <c r="H435">
        <v>20</v>
      </c>
      <c r="I435" t="s">
        <v>444</v>
      </c>
      <c r="J435" t="s">
        <v>445</v>
      </c>
      <c r="K435">
        <v>150</v>
      </c>
      <c r="L435">
        <f t="shared" si="24"/>
        <v>3150</v>
      </c>
      <c r="M435">
        <f t="shared" si="25"/>
        <v>0</v>
      </c>
      <c r="N435">
        <f t="shared" si="26"/>
        <v>1050</v>
      </c>
      <c r="O435" s="5">
        <f t="shared" si="27"/>
        <v>2080</v>
      </c>
    </row>
    <row r="436" spans="1:15" x14ac:dyDescent="0.3">
      <c r="A436" t="s">
        <v>461</v>
      </c>
      <c r="B436" s="3">
        <v>46027</v>
      </c>
      <c r="C436" t="s">
        <v>443</v>
      </c>
      <c r="D436" t="s">
        <v>24</v>
      </c>
      <c r="E436">
        <v>15</v>
      </c>
      <c r="F436">
        <v>450</v>
      </c>
      <c r="G436">
        <v>0.1</v>
      </c>
      <c r="H436">
        <v>20</v>
      </c>
      <c r="I436" t="s">
        <v>444</v>
      </c>
      <c r="J436" t="s">
        <v>445</v>
      </c>
      <c r="K436">
        <v>150</v>
      </c>
      <c r="L436">
        <f t="shared" si="24"/>
        <v>6750</v>
      </c>
      <c r="M436">
        <f t="shared" si="25"/>
        <v>45</v>
      </c>
      <c r="N436">
        <f t="shared" si="26"/>
        <v>2250</v>
      </c>
      <c r="O436" s="5">
        <f t="shared" si="27"/>
        <v>4480</v>
      </c>
    </row>
    <row r="437" spans="1:15" x14ac:dyDescent="0.3">
      <c r="A437" t="s">
        <v>462</v>
      </c>
      <c r="B437" s="3">
        <v>46267</v>
      </c>
      <c r="C437" t="s">
        <v>443</v>
      </c>
      <c r="D437" t="s">
        <v>24</v>
      </c>
      <c r="E437">
        <v>1</v>
      </c>
      <c r="F437">
        <v>450</v>
      </c>
      <c r="G437">
        <v>0.2</v>
      </c>
      <c r="H437">
        <v>10</v>
      </c>
      <c r="I437" t="s">
        <v>444</v>
      </c>
      <c r="J437" t="s">
        <v>445</v>
      </c>
      <c r="K437">
        <v>150</v>
      </c>
      <c r="L437">
        <f t="shared" si="24"/>
        <v>450</v>
      </c>
      <c r="M437">
        <f t="shared" si="25"/>
        <v>90</v>
      </c>
      <c r="N437">
        <f t="shared" si="26"/>
        <v>150</v>
      </c>
      <c r="O437" s="5">
        <f t="shared" si="27"/>
        <v>290</v>
      </c>
    </row>
    <row r="438" spans="1:15" x14ac:dyDescent="0.3">
      <c r="A438" t="s">
        <v>463</v>
      </c>
      <c r="B438" s="3">
        <v>46239</v>
      </c>
      <c r="C438" t="s">
        <v>443</v>
      </c>
      <c r="D438" t="s">
        <v>24</v>
      </c>
      <c r="E438">
        <v>14</v>
      </c>
      <c r="F438">
        <v>450</v>
      </c>
      <c r="G438">
        <v>0.2</v>
      </c>
      <c r="H438">
        <v>10</v>
      </c>
      <c r="I438" t="s">
        <v>444</v>
      </c>
      <c r="J438" t="s">
        <v>445</v>
      </c>
      <c r="K438">
        <v>150</v>
      </c>
      <c r="L438">
        <f t="shared" si="24"/>
        <v>6300</v>
      </c>
      <c r="M438">
        <f t="shared" si="25"/>
        <v>90</v>
      </c>
      <c r="N438">
        <f t="shared" si="26"/>
        <v>2100</v>
      </c>
      <c r="O438" s="5">
        <f t="shared" si="27"/>
        <v>4190</v>
      </c>
    </row>
    <row r="439" spans="1:15" x14ac:dyDescent="0.3">
      <c r="A439" t="s">
        <v>464</v>
      </c>
      <c r="B439" s="3">
        <v>46325</v>
      </c>
      <c r="C439" t="s">
        <v>443</v>
      </c>
      <c r="D439" t="s">
        <v>17</v>
      </c>
      <c r="E439">
        <v>6</v>
      </c>
      <c r="F439">
        <v>450</v>
      </c>
      <c r="G439">
        <v>0.35</v>
      </c>
      <c r="H439">
        <v>5</v>
      </c>
      <c r="I439" t="s">
        <v>444</v>
      </c>
      <c r="J439" t="s">
        <v>445</v>
      </c>
      <c r="K439">
        <v>150</v>
      </c>
      <c r="L439">
        <f t="shared" si="24"/>
        <v>2700</v>
      </c>
      <c r="M439">
        <f t="shared" si="25"/>
        <v>157.5</v>
      </c>
      <c r="N439">
        <f t="shared" si="26"/>
        <v>900</v>
      </c>
      <c r="O439" s="5">
        <f t="shared" si="27"/>
        <v>1795</v>
      </c>
    </row>
    <row r="440" spans="1:15" x14ac:dyDescent="0.3">
      <c r="A440" t="s">
        <v>465</v>
      </c>
      <c r="B440" s="3">
        <v>46244</v>
      </c>
      <c r="C440" t="s">
        <v>443</v>
      </c>
      <c r="D440" t="s">
        <v>17</v>
      </c>
      <c r="E440">
        <v>24</v>
      </c>
      <c r="F440">
        <v>450</v>
      </c>
      <c r="G440">
        <v>0</v>
      </c>
      <c r="H440">
        <v>5</v>
      </c>
      <c r="I440" t="s">
        <v>444</v>
      </c>
      <c r="J440" t="s">
        <v>445</v>
      </c>
      <c r="K440">
        <v>150</v>
      </c>
      <c r="L440">
        <f t="shared" si="24"/>
        <v>10800</v>
      </c>
      <c r="M440">
        <f t="shared" si="25"/>
        <v>0</v>
      </c>
      <c r="N440">
        <f t="shared" si="26"/>
        <v>3600</v>
      </c>
      <c r="O440" s="5">
        <f t="shared" si="27"/>
        <v>7195</v>
      </c>
    </row>
    <row r="441" spans="1:15" x14ac:dyDescent="0.3">
      <c r="A441" t="s">
        <v>466</v>
      </c>
      <c r="B441" s="3">
        <v>46265</v>
      </c>
      <c r="C441" t="s">
        <v>443</v>
      </c>
      <c r="D441" t="s">
        <v>22</v>
      </c>
      <c r="E441">
        <v>21</v>
      </c>
      <c r="F441">
        <v>450</v>
      </c>
      <c r="G441">
        <v>0.2</v>
      </c>
      <c r="H441">
        <v>20</v>
      </c>
      <c r="I441" t="s">
        <v>444</v>
      </c>
      <c r="J441" t="s">
        <v>445</v>
      </c>
      <c r="K441">
        <v>150</v>
      </c>
      <c r="L441">
        <f t="shared" si="24"/>
        <v>9450</v>
      </c>
      <c r="M441">
        <f t="shared" si="25"/>
        <v>90</v>
      </c>
      <c r="N441">
        <f t="shared" si="26"/>
        <v>3150</v>
      </c>
      <c r="O441" s="5">
        <f t="shared" si="27"/>
        <v>6280</v>
      </c>
    </row>
    <row r="442" spans="1:15" x14ac:dyDescent="0.3">
      <c r="A442" t="s">
        <v>467</v>
      </c>
      <c r="B442" s="3">
        <v>46370</v>
      </c>
      <c r="C442" t="s">
        <v>443</v>
      </c>
      <c r="D442" t="s">
        <v>34</v>
      </c>
      <c r="E442">
        <v>9</v>
      </c>
      <c r="F442">
        <v>450</v>
      </c>
      <c r="G442">
        <v>0.1</v>
      </c>
      <c r="H442">
        <v>20</v>
      </c>
      <c r="I442" t="s">
        <v>444</v>
      </c>
      <c r="J442" t="s">
        <v>445</v>
      </c>
      <c r="K442">
        <v>150</v>
      </c>
      <c r="L442">
        <f t="shared" si="24"/>
        <v>4050</v>
      </c>
      <c r="M442">
        <f t="shared" si="25"/>
        <v>45</v>
      </c>
      <c r="N442">
        <f t="shared" si="26"/>
        <v>1350</v>
      </c>
      <c r="O442" s="5">
        <f t="shared" si="27"/>
        <v>2680</v>
      </c>
    </row>
    <row r="443" spans="1:15" x14ac:dyDescent="0.3">
      <c r="A443" t="s">
        <v>468</v>
      </c>
      <c r="B443" s="3">
        <v>46054</v>
      </c>
      <c r="C443" t="s">
        <v>443</v>
      </c>
      <c r="D443" t="s">
        <v>22</v>
      </c>
      <c r="E443">
        <v>6</v>
      </c>
      <c r="F443">
        <v>450</v>
      </c>
      <c r="G443">
        <v>0</v>
      </c>
      <c r="H443">
        <v>20</v>
      </c>
      <c r="I443" t="s">
        <v>444</v>
      </c>
      <c r="J443" t="s">
        <v>445</v>
      </c>
      <c r="K443">
        <v>150</v>
      </c>
      <c r="L443">
        <f t="shared" si="24"/>
        <v>2700</v>
      </c>
      <c r="M443">
        <f t="shared" si="25"/>
        <v>0</v>
      </c>
      <c r="N443">
        <f t="shared" si="26"/>
        <v>900</v>
      </c>
      <c r="O443" s="5">
        <f t="shared" si="27"/>
        <v>1780</v>
      </c>
    </row>
    <row r="444" spans="1:15" x14ac:dyDescent="0.3">
      <c r="A444" t="s">
        <v>469</v>
      </c>
      <c r="B444" s="3">
        <v>46100</v>
      </c>
      <c r="C444" t="s">
        <v>443</v>
      </c>
      <c r="D444" t="s">
        <v>34</v>
      </c>
      <c r="E444">
        <v>15</v>
      </c>
      <c r="F444">
        <v>450</v>
      </c>
      <c r="G444">
        <v>0</v>
      </c>
      <c r="H444">
        <v>15</v>
      </c>
      <c r="I444" t="s">
        <v>444</v>
      </c>
      <c r="J444" t="s">
        <v>445</v>
      </c>
      <c r="K444">
        <v>150</v>
      </c>
      <c r="L444">
        <f t="shared" si="24"/>
        <v>6750</v>
      </c>
      <c r="M444">
        <f t="shared" si="25"/>
        <v>0</v>
      </c>
      <c r="N444">
        <f t="shared" si="26"/>
        <v>2250</v>
      </c>
      <c r="O444" s="5">
        <f t="shared" si="27"/>
        <v>4485</v>
      </c>
    </row>
    <row r="445" spans="1:15" x14ac:dyDescent="0.3">
      <c r="A445" t="s">
        <v>470</v>
      </c>
      <c r="B445" s="3">
        <v>46286</v>
      </c>
      <c r="C445" t="s">
        <v>443</v>
      </c>
      <c r="D445" t="s">
        <v>17</v>
      </c>
      <c r="E445">
        <v>19</v>
      </c>
      <c r="F445">
        <v>450</v>
      </c>
      <c r="G445">
        <v>0.2</v>
      </c>
      <c r="H445">
        <v>5</v>
      </c>
      <c r="I445" t="s">
        <v>444</v>
      </c>
      <c r="J445" t="s">
        <v>445</v>
      </c>
      <c r="K445">
        <v>150</v>
      </c>
      <c r="L445">
        <f t="shared" si="24"/>
        <v>8550</v>
      </c>
      <c r="M445">
        <f t="shared" si="25"/>
        <v>90</v>
      </c>
      <c r="N445">
        <f t="shared" si="26"/>
        <v>2850</v>
      </c>
      <c r="O445" s="5">
        <f t="shared" si="27"/>
        <v>5695</v>
      </c>
    </row>
    <row r="446" spans="1:15" x14ac:dyDescent="0.3">
      <c r="A446" t="s">
        <v>471</v>
      </c>
      <c r="B446" s="3">
        <v>46267</v>
      </c>
      <c r="C446" t="s">
        <v>443</v>
      </c>
      <c r="D446" t="s">
        <v>22</v>
      </c>
      <c r="E446">
        <v>10</v>
      </c>
      <c r="F446">
        <v>450</v>
      </c>
      <c r="G446">
        <v>0.35</v>
      </c>
      <c r="H446">
        <v>5</v>
      </c>
      <c r="I446" t="s">
        <v>444</v>
      </c>
      <c r="J446" t="s">
        <v>445</v>
      </c>
      <c r="K446">
        <v>150</v>
      </c>
      <c r="L446">
        <f t="shared" si="24"/>
        <v>4500</v>
      </c>
      <c r="M446">
        <f t="shared" si="25"/>
        <v>157.5</v>
      </c>
      <c r="N446">
        <f t="shared" si="26"/>
        <v>1500</v>
      </c>
      <c r="O446" s="5">
        <f t="shared" si="27"/>
        <v>2995</v>
      </c>
    </row>
    <row r="447" spans="1:15" x14ac:dyDescent="0.3">
      <c r="A447" t="s">
        <v>472</v>
      </c>
      <c r="B447" s="3">
        <v>46231</v>
      </c>
      <c r="C447" t="s">
        <v>443</v>
      </c>
      <c r="D447" t="s">
        <v>24</v>
      </c>
      <c r="E447">
        <v>14</v>
      </c>
      <c r="F447">
        <v>450</v>
      </c>
      <c r="G447">
        <v>0</v>
      </c>
      <c r="H447">
        <v>15</v>
      </c>
      <c r="I447" t="s">
        <v>444</v>
      </c>
      <c r="J447" t="s">
        <v>445</v>
      </c>
      <c r="K447">
        <v>150</v>
      </c>
      <c r="L447">
        <f t="shared" si="24"/>
        <v>6300</v>
      </c>
      <c r="M447">
        <f t="shared" si="25"/>
        <v>0</v>
      </c>
      <c r="N447">
        <f t="shared" si="26"/>
        <v>2100</v>
      </c>
      <c r="O447" s="5">
        <f t="shared" si="27"/>
        <v>4185</v>
      </c>
    </row>
    <row r="448" spans="1:15" x14ac:dyDescent="0.3">
      <c r="A448" t="s">
        <v>473</v>
      </c>
      <c r="B448" s="3">
        <v>46048</v>
      </c>
      <c r="C448" t="s">
        <v>443</v>
      </c>
      <c r="D448" t="s">
        <v>24</v>
      </c>
      <c r="E448">
        <v>12</v>
      </c>
      <c r="F448">
        <v>450</v>
      </c>
      <c r="G448">
        <v>0.2</v>
      </c>
      <c r="H448">
        <v>10</v>
      </c>
      <c r="I448" t="s">
        <v>444</v>
      </c>
      <c r="J448" t="s">
        <v>445</v>
      </c>
      <c r="K448">
        <v>150</v>
      </c>
      <c r="L448">
        <f t="shared" si="24"/>
        <v>5400</v>
      </c>
      <c r="M448">
        <f t="shared" si="25"/>
        <v>90</v>
      </c>
      <c r="N448">
        <f t="shared" si="26"/>
        <v>1800</v>
      </c>
      <c r="O448" s="5">
        <f t="shared" si="27"/>
        <v>3590</v>
      </c>
    </row>
    <row r="449" spans="1:15" x14ac:dyDescent="0.3">
      <c r="A449" t="s">
        <v>474</v>
      </c>
      <c r="B449" s="3">
        <v>46137</v>
      </c>
      <c r="C449" t="s">
        <v>443</v>
      </c>
      <c r="D449" t="s">
        <v>22</v>
      </c>
      <c r="E449">
        <v>18</v>
      </c>
      <c r="F449">
        <v>450</v>
      </c>
      <c r="G449">
        <v>0.2</v>
      </c>
      <c r="H449">
        <v>10</v>
      </c>
      <c r="I449" t="s">
        <v>444</v>
      </c>
      <c r="J449" t="s">
        <v>445</v>
      </c>
      <c r="K449">
        <v>150</v>
      </c>
      <c r="L449">
        <f t="shared" si="24"/>
        <v>8100</v>
      </c>
      <c r="M449">
        <f t="shared" si="25"/>
        <v>90</v>
      </c>
      <c r="N449">
        <f t="shared" si="26"/>
        <v>2700</v>
      </c>
      <c r="O449" s="5">
        <f t="shared" si="27"/>
        <v>5390</v>
      </c>
    </row>
    <row r="450" spans="1:15" x14ac:dyDescent="0.3">
      <c r="A450" t="s">
        <v>475</v>
      </c>
      <c r="B450" s="3">
        <v>46102</v>
      </c>
      <c r="C450" t="s">
        <v>443</v>
      </c>
      <c r="D450" t="s">
        <v>34</v>
      </c>
      <c r="E450">
        <v>11</v>
      </c>
      <c r="F450">
        <v>450</v>
      </c>
      <c r="G450">
        <v>0.35</v>
      </c>
      <c r="H450">
        <v>5</v>
      </c>
      <c r="I450" t="s">
        <v>444</v>
      </c>
      <c r="J450" t="s">
        <v>445</v>
      </c>
      <c r="K450">
        <v>150</v>
      </c>
      <c r="L450">
        <f t="shared" ref="L450:L513" si="28">E450*F450</f>
        <v>4950</v>
      </c>
      <c r="M450">
        <f t="shared" ref="M450:M513" si="29">F450*G450</f>
        <v>157.5</v>
      </c>
      <c r="N450">
        <f t="shared" ref="N450:N513" si="30">E450*K450</f>
        <v>1650</v>
      </c>
      <c r="O450" s="5">
        <f t="shared" ref="O450:O513" si="31">L450-H450-N450</f>
        <v>3295</v>
      </c>
    </row>
    <row r="451" spans="1:15" x14ac:dyDescent="0.3">
      <c r="A451" t="s">
        <v>476</v>
      </c>
      <c r="B451" s="3">
        <v>46210</v>
      </c>
      <c r="C451" t="s">
        <v>443</v>
      </c>
      <c r="D451" t="s">
        <v>24</v>
      </c>
      <c r="E451">
        <v>10</v>
      </c>
      <c r="F451">
        <v>450</v>
      </c>
      <c r="G451">
        <v>0</v>
      </c>
      <c r="H451">
        <v>5</v>
      </c>
      <c r="I451" t="s">
        <v>444</v>
      </c>
      <c r="J451" t="s">
        <v>445</v>
      </c>
      <c r="K451">
        <v>150</v>
      </c>
      <c r="L451">
        <f t="shared" si="28"/>
        <v>4500</v>
      </c>
      <c r="M451">
        <f t="shared" si="29"/>
        <v>0</v>
      </c>
      <c r="N451">
        <f t="shared" si="30"/>
        <v>1500</v>
      </c>
      <c r="O451" s="5">
        <f t="shared" si="31"/>
        <v>2995</v>
      </c>
    </row>
    <row r="452" spans="1:15" x14ac:dyDescent="0.3">
      <c r="A452" t="s">
        <v>477</v>
      </c>
      <c r="B452" s="3">
        <v>46124</v>
      </c>
      <c r="C452" t="s">
        <v>443</v>
      </c>
      <c r="D452" t="s">
        <v>17</v>
      </c>
      <c r="E452">
        <v>24</v>
      </c>
      <c r="F452">
        <v>450</v>
      </c>
      <c r="G452">
        <v>0.2</v>
      </c>
      <c r="H452">
        <v>20</v>
      </c>
      <c r="I452" t="s">
        <v>444</v>
      </c>
      <c r="J452" t="s">
        <v>445</v>
      </c>
      <c r="K452">
        <v>150</v>
      </c>
      <c r="L452">
        <f t="shared" si="28"/>
        <v>10800</v>
      </c>
      <c r="M452">
        <f t="shared" si="29"/>
        <v>90</v>
      </c>
      <c r="N452">
        <f t="shared" si="30"/>
        <v>3600</v>
      </c>
      <c r="O452" s="5">
        <f t="shared" si="31"/>
        <v>7180</v>
      </c>
    </row>
    <row r="453" spans="1:15" x14ac:dyDescent="0.3">
      <c r="A453" t="s">
        <v>478</v>
      </c>
      <c r="B453" s="3">
        <v>46293</v>
      </c>
      <c r="C453" t="s">
        <v>443</v>
      </c>
      <c r="D453" t="s">
        <v>22</v>
      </c>
      <c r="E453">
        <v>5</v>
      </c>
      <c r="F453">
        <v>450</v>
      </c>
      <c r="G453">
        <v>0.35</v>
      </c>
      <c r="H453">
        <v>5</v>
      </c>
      <c r="I453" t="s">
        <v>444</v>
      </c>
      <c r="J453" t="s">
        <v>445</v>
      </c>
      <c r="K453">
        <v>150</v>
      </c>
      <c r="L453">
        <f t="shared" si="28"/>
        <v>2250</v>
      </c>
      <c r="M453">
        <f t="shared" si="29"/>
        <v>157.5</v>
      </c>
      <c r="N453">
        <f t="shared" si="30"/>
        <v>750</v>
      </c>
      <c r="O453" s="5">
        <f t="shared" si="31"/>
        <v>1495</v>
      </c>
    </row>
    <row r="454" spans="1:15" x14ac:dyDescent="0.3">
      <c r="A454" t="s">
        <v>479</v>
      </c>
      <c r="B454" s="3">
        <v>46172</v>
      </c>
      <c r="C454" t="s">
        <v>443</v>
      </c>
      <c r="D454" t="s">
        <v>17</v>
      </c>
      <c r="E454">
        <v>25</v>
      </c>
      <c r="F454">
        <v>450</v>
      </c>
      <c r="G454">
        <v>0.2</v>
      </c>
      <c r="H454">
        <v>10</v>
      </c>
      <c r="I454" t="s">
        <v>444</v>
      </c>
      <c r="J454" t="s">
        <v>445</v>
      </c>
      <c r="K454">
        <v>150</v>
      </c>
      <c r="L454">
        <f t="shared" si="28"/>
        <v>11250</v>
      </c>
      <c r="M454">
        <f t="shared" si="29"/>
        <v>90</v>
      </c>
      <c r="N454">
        <f t="shared" si="30"/>
        <v>3750</v>
      </c>
      <c r="O454" s="5">
        <f t="shared" si="31"/>
        <v>7490</v>
      </c>
    </row>
    <row r="455" spans="1:15" x14ac:dyDescent="0.3">
      <c r="A455" t="s">
        <v>480</v>
      </c>
      <c r="B455" s="3">
        <v>46090</v>
      </c>
      <c r="C455" t="s">
        <v>443</v>
      </c>
      <c r="D455" t="s">
        <v>22</v>
      </c>
      <c r="E455">
        <v>9</v>
      </c>
      <c r="F455">
        <v>450</v>
      </c>
      <c r="G455">
        <v>0.2</v>
      </c>
      <c r="H455">
        <v>15</v>
      </c>
      <c r="I455" t="s">
        <v>444</v>
      </c>
      <c r="J455" t="s">
        <v>445</v>
      </c>
      <c r="K455">
        <v>150</v>
      </c>
      <c r="L455">
        <f t="shared" si="28"/>
        <v>4050</v>
      </c>
      <c r="M455">
        <f t="shared" si="29"/>
        <v>90</v>
      </c>
      <c r="N455">
        <f t="shared" si="30"/>
        <v>1350</v>
      </c>
      <c r="O455" s="5">
        <f t="shared" si="31"/>
        <v>2685</v>
      </c>
    </row>
    <row r="456" spans="1:15" x14ac:dyDescent="0.3">
      <c r="A456" t="s">
        <v>481</v>
      </c>
      <c r="B456" s="3">
        <v>46256</v>
      </c>
      <c r="C456" t="s">
        <v>443</v>
      </c>
      <c r="D456" t="s">
        <v>34</v>
      </c>
      <c r="E456">
        <v>5</v>
      </c>
      <c r="F456">
        <v>450</v>
      </c>
      <c r="G456">
        <v>0.35</v>
      </c>
      <c r="H456">
        <v>20</v>
      </c>
      <c r="I456" t="s">
        <v>444</v>
      </c>
      <c r="J456" t="s">
        <v>445</v>
      </c>
      <c r="K456">
        <v>150</v>
      </c>
      <c r="L456">
        <f t="shared" si="28"/>
        <v>2250</v>
      </c>
      <c r="M456">
        <f t="shared" si="29"/>
        <v>157.5</v>
      </c>
      <c r="N456">
        <f t="shared" si="30"/>
        <v>750</v>
      </c>
      <c r="O456" s="5">
        <f t="shared" si="31"/>
        <v>1480</v>
      </c>
    </row>
    <row r="457" spans="1:15" x14ac:dyDescent="0.3">
      <c r="A457" t="s">
        <v>482</v>
      </c>
      <c r="B457" s="3">
        <v>46078</v>
      </c>
      <c r="C457" t="s">
        <v>443</v>
      </c>
      <c r="D457" t="s">
        <v>22</v>
      </c>
      <c r="E457">
        <v>23</v>
      </c>
      <c r="F457">
        <v>450</v>
      </c>
      <c r="G457">
        <v>0.2</v>
      </c>
      <c r="H457">
        <v>15</v>
      </c>
      <c r="I457" t="s">
        <v>444</v>
      </c>
      <c r="J457" t="s">
        <v>445</v>
      </c>
      <c r="K457">
        <v>150</v>
      </c>
      <c r="L457">
        <f t="shared" si="28"/>
        <v>10350</v>
      </c>
      <c r="M457">
        <f t="shared" si="29"/>
        <v>90</v>
      </c>
      <c r="N457">
        <f t="shared" si="30"/>
        <v>3450</v>
      </c>
      <c r="O457" s="5">
        <f t="shared" si="31"/>
        <v>6885</v>
      </c>
    </row>
    <row r="458" spans="1:15" x14ac:dyDescent="0.3">
      <c r="A458" t="s">
        <v>483</v>
      </c>
      <c r="B458" s="3">
        <v>46196</v>
      </c>
      <c r="C458" t="s">
        <v>443</v>
      </c>
      <c r="D458" t="s">
        <v>17</v>
      </c>
      <c r="E458">
        <v>25</v>
      </c>
      <c r="F458">
        <v>450</v>
      </c>
      <c r="G458">
        <v>0.1</v>
      </c>
      <c r="H458">
        <v>10</v>
      </c>
      <c r="I458" t="s">
        <v>444</v>
      </c>
      <c r="J458" t="s">
        <v>445</v>
      </c>
      <c r="K458">
        <v>150</v>
      </c>
      <c r="L458">
        <f t="shared" si="28"/>
        <v>11250</v>
      </c>
      <c r="M458">
        <f t="shared" si="29"/>
        <v>45</v>
      </c>
      <c r="N458">
        <f t="shared" si="30"/>
        <v>3750</v>
      </c>
      <c r="O458" s="5">
        <f t="shared" si="31"/>
        <v>7490</v>
      </c>
    </row>
    <row r="459" spans="1:15" x14ac:dyDescent="0.3">
      <c r="A459" t="s">
        <v>484</v>
      </c>
      <c r="B459" s="3">
        <v>46345</v>
      </c>
      <c r="C459" t="s">
        <v>443</v>
      </c>
      <c r="D459" t="s">
        <v>34</v>
      </c>
      <c r="E459">
        <v>25</v>
      </c>
      <c r="F459">
        <v>450</v>
      </c>
      <c r="G459">
        <v>0.2</v>
      </c>
      <c r="H459">
        <v>20</v>
      </c>
      <c r="I459" t="s">
        <v>444</v>
      </c>
      <c r="J459" t="s">
        <v>445</v>
      </c>
      <c r="K459">
        <v>150</v>
      </c>
      <c r="L459">
        <f t="shared" si="28"/>
        <v>11250</v>
      </c>
      <c r="M459">
        <f t="shared" si="29"/>
        <v>90</v>
      </c>
      <c r="N459">
        <f t="shared" si="30"/>
        <v>3750</v>
      </c>
      <c r="O459" s="5">
        <f t="shared" si="31"/>
        <v>7480</v>
      </c>
    </row>
    <row r="460" spans="1:15" x14ac:dyDescent="0.3">
      <c r="A460" t="s">
        <v>485</v>
      </c>
      <c r="B460" s="3">
        <v>46087</v>
      </c>
      <c r="C460" t="s">
        <v>443</v>
      </c>
      <c r="D460" t="s">
        <v>34</v>
      </c>
      <c r="E460">
        <v>12</v>
      </c>
      <c r="F460">
        <v>450</v>
      </c>
      <c r="G460">
        <v>0</v>
      </c>
      <c r="H460">
        <v>20</v>
      </c>
      <c r="I460" t="s">
        <v>444</v>
      </c>
      <c r="J460" t="s">
        <v>445</v>
      </c>
      <c r="K460">
        <v>150</v>
      </c>
      <c r="L460">
        <f t="shared" si="28"/>
        <v>5400</v>
      </c>
      <c r="M460">
        <f t="shared" si="29"/>
        <v>0</v>
      </c>
      <c r="N460">
        <f t="shared" si="30"/>
        <v>1800</v>
      </c>
      <c r="O460" s="5">
        <f t="shared" si="31"/>
        <v>3580</v>
      </c>
    </row>
    <row r="461" spans="1:15" x14ac:dyDescent="0.3">
      <c r="A461" t="s">
        <v>486</v>
      </c>
      <c r="B461" s="3">
        <v>46110</v>
      </c>
      <c r="C461" t="s">
        <v>443</v>
      </c>
      <c r="D461" t="s">
        <v>24</v>
      </c>
      <c r="E461">
        <v>15</v>
      </c>
      <c r="F461">
        <v>450</v>
      </c>
      <c r="G461">
        <v>0</v>
      </c>
      <c r="H461">
        <v>5</v>
      </c>
      <c r="I461" t="s">
        <v>444</v>
      </c>
      <c r="J461" t="s">
        <v>445</v>
      </c>
      <c r="K461">
        <v>150</v>
      </c>
      <c r="L461">
        <f t="shared" si="28"/>
        <v>6750</v>
      </c>
      <c r="M461">
        <f t="shared" si="29"/>
        <v>0</v>
      </c>
      <c r="N461">
        <f t="shared" si="30"/>
        <v>2250</v>
      </c>
      <c r="O461" s="5">
        <f t="shared" si="31"/>
        <v>4495</v>
      </c>
    </row>
    <row r="462" spans="1:15" x14ac:dyDescent="0.3">
      <c r="A462" t="s">
        <v>487</v>
      </c>
      <c r="B462" s="3">
        <v>46135</v>
      </c>
      <c r="C462" t="s">
        <v>443</v>
      </c>
      <c r="D462" t="s">
        <v>34</v>
      </c>
      <c r="E462">
        <v>21</v>
      </c>
      <c r="F462">
        <v>450</v>
      </c>
      <c r="G462">
        <v>0.2</v>
      </c>
      <c r="H462">
        <v>10</v>
      </c>
      <c r="I462" t="s">
        <v>444</v>
      </c>
      <c r="J462" t="s">
        <v>445</v>
      </c>
      <c r="K462">
        <v>150</v>
      </c>
      <c r="L462">
        <f t="shared" si="28"/>
        <v>9450</v>
      </c>
      <c r="M462">
        <f t="shared" si="29"/>
        <v>90</v>
      </c>
      <c r="N462">
        <f t="shared" si="30"/>
        <v>3150</v>
      </c>
      <c r="O462" s="5">
        <f t="shared" si="31"/>
        <v>6290</v>
      </c>
    </row>
    <row r="463" spans="1:15" x14ac:dyDescent="0.3">
      <c r="A463" t="s">
        <v>488</v>
      </c>
      <c r="B463" s="3">
        <v>46219</v>
      </c>
      <c r="C463" t="s">
        <v>443</v>
      </c>
      <c r="D463" t="s">
        <v>34</v>
      </c>
      <c r="E463">
        <v>20</v>
      </c>
      <c r="F463">
        <v>450</v>
      </c>
      <c r="G463">
        <v>0.1</v>
      </c>
      <c r="H463">
        <v>10</v>
      </c>
      <c r="I463" t="s">
        <v>444</v>
      </c>
      <c r="J463" t="s">
        <v>445</v>
      </c>
      <c r="K463">
        <v>150</v>
      </c>
      <c r="L463">
        <f t="shared" si="28"/>
        <v>9000</v>
      </c>
      <c r="M463">
        <f t="shared" si="29"/>
        <v>45</v>
      </c>
      <c r="N463">
        <f t="shared" si="30"/>
        <v>3000</v>
      </c>
      <c r="O463" s="5">
        <f t="shared" si="31"/>
        <v>5990</v>
      </c>
    </row>
    <row r="464" spans="1:15" x14ac:dyDescent="0.3">
      <c r="A464" t="s">
        <v>489</v>
      </c>
      <c r="B464" s="3">
        <v>46231</v>
      </c>
      <c r="C464" t="s">
        <v>443</v>
      </c>
      <c r="D464" t="s">
        <v>17</v>
      </c>
      <c r="E464">
        <v>9</v>
      </c>
      <c r="F464">
        <v>450</v>
      </c>
      <c r="G464">
        <v>0</v>
      </c>
      <c r="H464">
        <v>5</v>
      </c>
      <c r="I464" t="s">
        <v>444</v>
      </c>
      <c r="J464" t="s">
        <v>445</v>
      </c>
      <c r="K464">
        <v>150</v>
      </c>
      <c r="L464">
        <f t="shared" si="28"/>
        <v>4050</v>
      </c>
      <c r="M464">
        <f t="shared" si="29"/>
        <v>0</v>
      </c>
      <c r="N464">
        <f t="shared" si="30"/>
        <v>1350</v>
      </c>
      <c r="O464" s="5">
        <f t="shared" si="31"/>
        <v>2695</v>
      </c>
    </row>
    <row r="465" spans="1:15" x14ac:dyDescent="0.3">
      <c r="A465" t="s">
        <v>490</v>
      </c>
      <c r="B465" s="3">
        <v>46195</v>
      </c>
      <c r="C465" t="s">
        <v>443</v>
      </c>
      <c r="D465" t="s">
        <v>34</v>
      </c>
      <c r="E465">
        <v>10</v>
      </c>
      <c r="F465">
        <v>450</v>
      </c>
      <c r="G465">
        <v>0.35</v>
      </c>
      <c r="H465">
        <v>20</v>
      </c>
      <c r="I465" t="s">
        <v>444</v>
      </c>
      <c r="J465" t="s">
        <v>445</v>
      </c>
      <c r="K465">
        <v>150</v>
      </c>
      <c r="L465">
        <f t="shared" si="28"/>
        <v>4500</v>
      </c>
      <c r="M465">
        <f t="shared" si="29"/>
        <v>157.5</v>
      </c>
      <c r="N465">
        <f t="shared" si="30"/>
        <v>1500</v>
      </c>
      <c r="O465" s="5">
        <f t="shared" si="31"/>
        <v>2980</v>
      </c>
    </row>
    <row r="466" spans="1:15" x14ac:dyDescent="0.3">
      <c r="A466" t="s">
        <v>491</v>
      </c>
      <c r="B466" s="3">
        <v>46215</v>
      </c>
      <c r="C466" t="s">
        <v>443</v>
      </c>
      <c r="D466" t="s">
        <v>22</v>
      </c>
      <c r="E466">
        <v>24</v>
      </c>
      <c r="F466">
        <v>450</v>
      </c>
      <c r="G466">
        <v>0.2</v>
      </c>
      <c r="H466">
        <v>10</v>
      </c>
      <c r="I466" t="s">
        <v>444</v>
      </c>
      <c r="J466" t="s">
        <v>445</v>
      </c>
      <c r="K466">
        <v>150</v>
      </c>
      <c r="L466">
        <f t="shared" si="28"/>
        <v>10800</v>
      </c>
      <c r="M466">
        <f t="shared" si="29"/>
        <v>90</v>
      </c>
      <c r="N466">
        <f t="shared" si="30"/>
        <v>3600</v>
      </c>
      <c r="O466" s="5">
        <f t="shared" si="31"/>
        <v>7190</v>
      </c>
    </row>
    <row r="467" spans="1:15" x14ac:dyDescent="0.3">
      <c r="A467" t="s">
        <v>492</v>
      </c>
      <c r="B467" s="3">
        <v>46113</v>
      </c>
      <c r="C467" t="s">
        <v>443</v>
      </c>
      <c r="D467" t="s">
        <v>17</v>
      </c>
      <c r="E467">
        <v>17</v>
      </c>
      <c r="F467">
        <v>450</v>
      </c>
      <c r="G467">
        <v>0.35</v>
      </c>
      <c r="H467">
        <v>15</v>
      </c>
      <c r="I467" t="s">
        <v>444</v>
      </c>
      <c r="J467" t="s">
        <v>445</v>
      </c>
      <c r="K467">
        <v>150</v>
      </c>
      <c r="L467">
        <f t="shared" si="28"/>
        <v>7650</v>
      </c>
      <c r="M467">
        <f t="shared" si="29"/>
        <v>157.5</v>
      </c>
      <c r="N467">
        <f t="shared" si="30"/>
        <v>2550</v>
      </c>
      <c r="O467" s="5">
        <f t="shared" si="31"/>
        <v>5085</v>
      </c>
    </row>
    <row r="468" spans="1:15" x14ac:dyDescent="0.3">
      <c r="A468" t="s">
        <v>493</v>
      </c>
      <c r="B468" s="3">
        <v>46245</v>
      </c>
      <c r="C468" t="s">
        <v>443</v>
      </c>
      <c r="D468" t="s">
        <v>34</v>
      </c>
      <c r="E468">
        <v>18</v>
      </c>
      <c r="F468">
        <v>450</v>
      </c>
      <c r="G468">
        <v>0.1</v>
      </c>
      <c r="H468">
        <v>5</v>
      </c>
      <c r="I468" t="s">
        <v>444</v>
      </c>
      <c r="J468" t="s">
        <v>445</v>
      </c>
      <c r="K468">
        <v>150</v>
      </c>
      <c r="L468">
        <f t="shared" si="28"/>
        <v>8100</v>
      </c>
      <c r="M468">
        <f t="shared" si="29"/>
        <v>45</v>
      </c>
      <c r="N468">
        <f t="shared" si="30"/>
        <v>2700</v>
      </c>
      <c r="O468" s="5">
        <f t="shared" si="31"/>
        <v>5395</v>
      </c>
    </row>
    <row r="469" spans="1:15" x14ac:dyDescent="0.3">
      <c r="A469" t="s">
        <v>494</v>
      </c>
      <c r="B469" s="3">
        <v>46091</v>
      </c>
      <c r="C469" t="s">
        <v>443</v>
      </c>
      <c r="D469" t="s">
        <v>24</v>
      </c>
      <c r="E469">
        <v>10</v>
      </c>
      <c r="F469">
        <v>450</v>
      </c>
      <c r="G469">
        <v>0.2</v>
      </c>
      <c r="H469">
        <v>10</v>
      </c>
      <c r="I469" t="s">
        <v>444</v>
      </c>
      <c r="J469" t="s">
        <v>445</v>
      </c>
      <c r="K469">
        <v>150</v>
      </c>
      <c r="L469">
        <f t="shared" si="28"/>
        <v>4500</v>
      </c>
      <c r="M469">
        <f t="shared" si="29"/>
        <v>90</v>
      </c>
      <c r="N469">
        <f t="shared" si="30"/>
        <v>1500</v>
      </c>
      <c r="O469" s="5">
        <f t="shared" si="31"/>
        <v>2990</v>
      </c>
    </row>
    <row r="470" spans="1:15" x14ac:dyDescent="0.3">
      <c r="A470" t="s">
        <v>495</v>
      </c>
      <c r="B470" s="3">
        <v>46033</v>
      </c>
      <c r="C470" t="s">
        <v>443</v>
      </c>
      <c r="D470" t="s">
        <v>22</v>
      </c>
      <c r="E470">
        <v>20</v>
      </c>
      <c r="F470">
        <v>450</v>
      </c>
      <c r="G470">
        <v>0.35</v>
      </c>
      <c r="H470">
        <v>20</v>
      </c>
      <c r="I470" t="s">
        <v>444</v>
      </c>
      <c r="J470" t="s">
        <v>445</v>
      </c>
      <c r="K470">
        <v>150</v>
      </c>
      <c r="L470">
        <f t="shared" si="28"/>
        <v>9000</v>
      </c>
      <c r="M470">
        <f t="shared" si="29"/>
        <v>157.5</v>
      </c>
      <c r="N470">
        <f t="shared" si="30"/>
        <v>3000</v>
      </c>
      <c r="O470" s="5">
        <f t="shared" si="31"/>
        <v>5980</v>
      </c>
    </row>
    <row r="471" spans="1:15" x14ac:dyDescent="0.3">
      <c r="A471" t="s">
        <v>496</v>
      </c>
      <c r="B471" s="3">
        <v>46304</v>
      </c>
      <c r="C471" t="s">
        <v>443</v>
      </c>
      <c r="D471" t="s">
        <v>34</v>
      </c>
      <c r="E471">
        <v>8</v>
      </c>
      <c r="F471">
        <v>450</v>
      </c>
      <c r="G471">
        <v>0.2</v>
      </c>
      <c r="H471">
        <v>20</v>
      </c>
      <c r="I471" t="s">
        <v>444</v>
      </c>
      <c r="J471" t="s">
        <v>445</v>
      </c>
      <c r="K471">
        <v>150</v>
      </c>
      <c r="L471">
        <f t="shared" si="28"/>
        <v>3600</v>
      </c>
      <c r="M471">
        <f t="shared" si="29"/>
        <v>90</v>
      </c>
      <c r="N471">
        <f t="shared" si="30"/>
        <v>1200</v>
      </c>
      <c r="O471" s="5">
        <f t="shared" si="31"/>
        <v>2380</v>
      </c>
    </row>
    <row r="472" spans="1:15" x14ac:dyDescent="0.3">
      <c r="A472" t="s">
        <v>497</v>
      </c>
      <c r="B472" s="3">
        <v>46076</v>
      </c>
      <c r="C472" t="s">
        <v>443</v>
      </c>
      <c r="D472" t="s">
        <v>34</v>
      </c>
      <c r="E472">
        <v>6</v>
      </c>
      <c r="F472">
        <v>450</v>
      </c>
      <c r="G472">
        <v>0.35</v>
      </c>
      <c r="H472">
        <v>5</v>
      </c>
      <c r="I472" t="s">
        <v>444</v>
      </c>
      <c r="J472" t="s">
        <v>445</v>
      </c>
      <c r="K472">
        <v>150</v>
      </c>
      <c r="L472">
        <f t="shared" si="28"/>
        <v>2700</v>
      </c>
      <c r="M472">
        <f t="shared" si="29"/>
        <v>157.5</v>
      </c>
      <c r="N472">
        <f t="shared" si="30"/>
        <v>900</v>
      </c>
      <c r="O472" s="5">
        <f t="shared" si="31"/>
        <v>1795</v>
      </c>
    </row>
    <row r="473" spans="1:15" x14ac:dyDescent="0.3">
      <c r="A473" t="s">
        <v>498</v>
      </c>
      <c r="B473" s="3">
        <v>46321</v>
      </c>
      <c r="C473" t="s">
        <v>443</v>
      </c>
      <c r="D473" t="s">
        <v>17</v>
      </c>
      <c r="E473">
        <v>3</v>
      </c>
      <c r="F473">
        <v>450</v>
      </c>
      <c r="G473">
        <v>0</v>
      </c>
      <c r="H473">
        <v>10</v>
      </c>
      <c r="I473" t="s">
        <v>444</v>
      </c>
      <c r="J473" t="s">
        <v>445</v>
      </c>
      <c r="K473">
        <v>150</v>
      </c>
      <c r="L473">
        <f t="shared" si="28"/>
        <v>1350</v>
      </c>
      <c r="M473">
        <f t="shared" si="29"/>
        <v>0</v>
      </c>
      <c r="N473">
        <f t="shared" si="30"/>
        <v>450</v>
      </c>
      <c r="O473" s="5">
        <f t="shared" si="31"/>
        <v>890</v>
      </c>
    </row>
    <row r="474" spans="1:15" x14ac:dyDescent="0.3">
      <c r="A474" t="s">
        <v>499</v>
      </c>
      <c r="B474" s="3">
        <v>46057</v>
      </c>
      <c r="C474" t="s">
        <v>443</v>
      </c>
      <c r="D474" t="s">
        <v>24</v>
      </c>
      <c r="E474">
        <v>22</v>
      </c>
      <c r="F474">
        <v>450</v>
      </c>
      <c r="G474">
        <v>0.35</v>
      </c>
      <c r="H474">
        <v>10</v>
      </c>
      <c r="I474" t="s">
        <v>444</v>
      </c>
      <c r="J474" t="s">
        <v>445</v>
      </c>
      <c r="K474">
        <v>150</v>
      </c>
      <c r="L474">
        <f t="shared" si="28"/>
        <v>9900</v>
      </c>
      <c r="M474">
        <f t="shared" si="29"/>
        <v>157.5</v>
      </c>
      <c r="N474">
        <f t="shared" si="30"/>
        <v>3300</v>
      </c>
      <c r="O474" s="5">
        <f t="shared" si="31"/>
        <v>6590</v>
      </c>
    </row>
    <row r="475" spans="1:15" x14ac:dyDescent="0.3">
      <c r="A475" t="s">
        <v>500</v>
      </c>
      <c r="B475" s="3">
        <v>46211</v>
      </c>
      <c r="C475" t="s">
        <v>443</v>
      </c>
      <c r="D475" t="s">
        <v>34</v>
      </c>
      <c r="E475">
        <v>2</v>
      </c>
      <c r="F475">
        <v>450</v>
      </c>
      <c r="G475">
        <v>0.1</v>
      </c>
      <c r="H475">
        <v>5</v>
      </c>
      <c r="I475" t="s">
        <v>444</v>
      </c>
      <c r="J475" t="s">
        <v>445</v>
      </c>
      <c r="K475">
        <v>150</v>
      </c>
      <c r="L475">
        <f t="shared" si="28"/>
        <v>900</v>
      </c>
      <c r="M475">
        <f t="shared" si="29"/>
        <v>45</v>
      </c>
      <c r="N475">
        <f t="shared" si="30"/>
        <v>300</v>
      </c>
      <c r="O475" s="5">
        <f t="shared" si="31"/>
        <v>595</v>
      </c>
    </row>
    <row r="476" spans="1:15" x14ac:dyDescent="0.3">
      <c r="A476" t="s">
        <v>501</v>
      </c>
      <c r="B476" s="3">
        <v>46204</v>
      </c>
      <c r="C476" t="s">
        <v>443</v>
      </c>
      <c r="D476" t="s">
        <v>17</v>
      </c>
      <c r="E476">
        <v>10</v>
      </c>
      <c r="F476">
        <v>450</v>
      </c>
      <c r="G476">
        <v>0.1</v>
      </c>
      <c r="H476">
        <v>15</v>
      </c>
      <c r="I476" t="s">
        <v>444</v>
      </c>
      <c r="J476" t="s">
        <v>445</v>
      </c>
      <c r="K476">
        <v>150</v>
      </c>
      <c r="L476">
        <f t="shared" si="28"/>
        <v>4500</v>
      </c>
      <c r="M476">
        <f t="shared" si="29"/>
        <v>45</v>
      </c>
      <c r="N476">
        <f t="shared" si="30"/>
        <v>1500</v>
      </c>
      <c r="O476" s="5">
        <f t="shared" si="31"/>
        <v>2985</v>
      </c>
    </row>
    <row r="477" spans="1:15" x14ac:dyDescent="0.3">
      <c r="A477" t="s">
        <v>502</v>
      </c>
      <c r="B477" s="3">
        <v>46037</v>
      </c>
      <c r="C477" t="s">
        <v>443</v>
      </c>
      <c r="D477" t="s">
        <v>24</v>
      </c>
      <c r="E477">
        <v>3</v>
      </c>
      <c r="F477">
        <v>450</v>
      </c>
      <c r="G477">
        <v>0.35</v>
      </c>
      <c r="H477">
        <v>15</v>
      </c>
      <c r="I477" t="s">
        <v>444</v>
      </c>
      <c r="J477" t="s">
        <v>445</v>
      </c>
      <c r="K477">
        <v>150</v>
      </c>
      <c r="L477">
        <f t="shared" si="28"/>
        <v>1350</v>
      </c>
      <c r="M477">
        <f t="shared" si="29"/>
        <v>157.5</v>
      </c>
      <c r="N477">
        <f t="shared" si="30"/>
        <v>450</v>
      </c>
      <c r="O477" s="5">
        <f t="shared" si="31"/>
        <v>885</v>
      </c>
    </row>
    <row r="478" spans="1:15" x14ac:dyDescent="0.3">
      <c r="A478" t="s">
        <v>503</v>
      </c>
      <c r="B478" s="3">
        <v>46230</v>
      </c>
      <c r="C478" t="s">
        <v>443</v>
      </c>
      <c r="D478" t="s">
        <v>22</v>
      </c>
      <c r="E478">
        <v>16</v>
      </c>
      <c r="F478">
        <v>450</v>
      </c>
      <c r="G478">
        <v>0.2</v>
      </c>
      <c r="H478">
        <v>5</v>
      </c>
      <c r="I478" t="s">
        <v>444</v>
      </c>
      <c r="J478" t="s">
        <v>445</v>
      </c>
      <c r="K478">
        <v>150</v>
      </c>
      <c r="L478">
        <f t="shared" si="28"/>
        <v>7200</v>
      </c>
      <c r="M478">
        <f t="shared" si="29"/>
        <v>90</v>
      </c>
      <c r="N478">
        <f t="shared" si="30"/>
        <v>2400</v>
      </c>
      <c r="O478" s="5">
        <f t="shared" si="31"/>
        <v>4795</v>
      </c>
    </row>
    <row r="479" spans="1:15" x14ac:dyDescent="0.3">
      <c r="A479" t="s">
        <v>504</v>
      </c>
      <c r="B479" s="3">
        <v>46096</v>
      </c>
      <c r="C479" t="s">
        <v>443</v>
      </c>
      <c r="D479" t="s">
        <v>17</v>
      </c>
      <c r="E479">
        <v>23</v>
      </c>
      <c r="F479">
        <v>450</v>
      </c>
      <c r="G479">
        <v>0</v>
      </c>
      <c r="H479">
        <v>20</v>
      </c>
      <c r="I479" t="s">
        <v>444</v>
      </c>
      <c r="J479" t="s">
        <v>445</v>
      </c>
      <c r="K479">
        <v>150</v>
      </c>
      <c r="L479">
        <f t="shared" si="28"/>
        <v>10350</v>
      </c>
      <c r="M479">
        <f t="shared" si="29"/>
        <v>0</v>
      </c>
      <c r="N479">
        <f t="shared" si="30"/>
        <v>3450</v>
      </c>
      <c r="O479" s="5">
        <f t="shared" si="31"/>
        <v>6880</v>
      </c>
    </row>
    <row r="480" spans="1:15" x14ac:dyDescent="0.3">
      <c r="A480" t="s">
        <v>505</v>
      </c>
      <c r="B480" s="3">
        <v>46100</v>
      </c>
      <c r="C480" t="s">
        <v>443</v>
      </c>
      <c r="D480" t="s">
        <v>22</v>
      </c>
      <c r="E480">
        <v>20</v>
      </c>
      <c r="F480">
        <v>450</v>
      </c>
      <c r="G480">
        <v>0</v>
      </c>
      <c r="H480">
        <v>10</v>
      </c>
      <c r="I480" t="s">
        <v>444</v>
      </c>
      <c r="J480" t="s">
        <v>445</v>
      </c>
      <c r="K480">
        <v>150</v>
      </c>
      <c r="L480">
        <f t="shared" si="28"/>
        <v>9000</v>
      </c>
      <c r="M480">
        <f t="shared" si="29"/>
        <v>0</v>
      </c>
      <c r="N480">
        <f t="shared" si="30"/>
        <v>3000</v>
      </c>
      <c r="O480" s="5">
        <f t="shared" si="31"/>
        <v>5990</v>
      </c>
    </row>
    <row r="481" spans="1:15" x14ac:dyDescent="0.3">
      <c r="A481" t="s">
        <v>506</v>
      </c>
      <c r="B481" s="3">
        <v>46044</v>
      </c>
      <c r="C481" t="s">
        <v>443</v>
      </c>
      <c r="D481" t="s">
        <v>22</v>
      </c>
      <c r="E481">
        <v>13</v>
      </c>
      <c r="F481">
        <v>450</v>
      </c>
      <c r="G481">
        <v>0.1</v>
      </c>
      <c r="H481">
        <v>20</v>
      </c>
      <c r="I481" t="s">
        <v>444</v>
      </c>
      <c r="J481" t="s">
        <v>445</v>
      </c>
      <c r="K481">
        <v>150</v>
      </c>
      <c r="L481">
        <f t="shared" si="28"/>
        <v>5850</v>
      </c>
      <c r="M481">
        <f t="shared" si="29"/>
        <v>45</v>
      </c>
      <c r="N481">
        <f t="shared" si="30"/>
        <v>1950</v>
      </c>
      <c r="O481" s="5">
        <f t="shared" si="31"/>
        <v>3880</v>
      </c>
    </row>
    <row r="482" spans="1:15" x14ac:dyDescent="0.3">
      <c r="A482" t="s">
        <v>507</v>
      </c>
      <c r="B482" s="3">
        <v>46056</v>
      </c>
      <c r="C482" t="s">
        <v>443</v>
      </c>
      <c r="D482" t="s">
        <v>24</v>
      </c>
      <c r="E482">
        <v>24</v>
      </c>
      <c r="F482">
        <v>450</v>
      </c>
      <c r="G482">
        <v>0.2</v>
      </c>
      <c r="H482">
        <v>15</v>
      </c>
      <c r="I482" t="s">
        <v>444</v>
      </c>
      <c r="J482" t="s">
        <v>445</v>
      </c>
      <c r="K482">
        <v>150</v>
      </c>
      <c r="L482">
        <f t="shared" si="28"/>
        <v>10800</v>
      </c>
      <c r="M482">
        <f t="shared" si="29"/>
        <v>90</v>
      </c>
      <c r="N482">
        <f t="shared" si="30"/>
        <v>3600</v>
      </c>
      <c r="O482" s="5">
        <f t="shared" si="31"/>
        <v>7185</v>
      </c>
    </row>
    <row r="483" spans="1:15" x14ac:dyDescent="0.3">
      <c r="A483" t="s">
        <v>508</v>
      </c>
      <c r="B483" s="3">
        <v>46210</v>
      </c>
      <c r="C483" t="s">
        <v>443</v>
      </c>
      <c r="D483" t="s">
        <v>17</v>
      </c>
      <c r="E483">
        <v>20</v>
      </c>
      <c r="F483">
        <v>450</v>
      </c>
      <c r="G483">
        <v>0.1</v>
      </c>
      <c r="H483">
        <v>15</v>
      </c>
      <c r="I483" t="s">
        <v>444</v>
      </c>
      <c r="J483" t="s">
        <v>445</v>
      </c>
      <c r="K483">
        <v>150</v>
      </c>
      <c r="L483">
        <f t="shared" si="28"/>
        <v>9000</v>
      </c>
      <c r="M483">
        <f t="shared" si="29"/>
        <v>45</v>
      </c>
      <c r="N483">
        <f t="shared" si="30"/>
        <v>3000</v>
      </c>
      <c r="O483" s="5">
        <f t="shared" si="31"/>
        <v>5985</v>
      </c>
    </row>
    <row r="484" spans="1:15" x14ac:dyDescent="0.3">
      <c r="A484" t="s">
        <v>509</v>
      </c>
      <c r="B484" s="3">
        <v>46302</v>
      </c>
      <c r="C484" t="s">
        <v>443</v>
      </c>
      <c r="D484" t="s">
        <v>17</v>
      </c>
      <c r="E484">
        <v>16</v>
      </c>
      <c r="F484">
        <v>450</v>
      </c>
      <c r="G484">
        <v>0</v>
      </c>
      <c r="H484">
        <v>20</v>
      </c>
      <c r="I484" t="s">
        <v>444</v>
      </c>
      <c r="J484" t="s">
        <v>445</v>
      </c>
      <c r="K484">
        <v>150</v>
      </c>
      <c r="L484">
        <f t="shared" si="28"/>
        <v>7200</v>
      </c>
      <c r="M484">
        <f t="shared" si="29"/>
        <v>0</v>
      </c>
      <c r="N484">
        <f t="shared" si="30"/>
        <v>2400</v>
      </c>
      <c r="O484" s="5">
        <f t="shared" si="31"/>
        <v>4780</v>
      </c>
    </row>
    <row r="485" spans="1:15" x14ac:dyDescent="0.3">
      <c r="A485" t="s">
        <v>510</v>
      </c>
      <c r="B485" s="3">
        <v>46082</v>
      </c>
      <c r="C485" t="s">
        <v>443</v>
      </c>
      <c r="D485" t="s">
        <v>17</v>
      </c>
      <c r="E485">
        <v>2</v>
      </c>
      <c r="F485">
        <v>450</v>
      </c>
      <c r="G485">
        <v>0.1</v>
      </c>
      <c r="H485">
        <v>20</v>
      </c>
      <c r="I485" t="s">
        <v>444</v>
      </c>
      <c r="J485" t="s">
        <v>445</v>
      </c>
      <c r="K485">
        <v>150</v>
      </c>
      <c r="L485">
        <f t="shared" si="28"/>
        <v>900</v>
      </c>
      <c r="M485">
        <f t="shared" si="29"/>
        <v>45</v>
      </c>
      <c r="N485">
        <f t="shared" si="30"/>
        <v>300</v>
      </c>
      <c r="O485" s="5">
        <f t="shared" si="31"/>
        <v>580</v>
      </c>
    </row>
    <row r="486" spans="1:15" x14ac:dyDescent="0.3">
      <c r="A486" t="s">
        <v>511</v>
      </c>
      <c r="B486" s="3">
        <v>46045</v>
      </c>
      <c r="C486" t="s">
        <v>443</v>
      </c>
      <c r="D486" t="s">
        <v>22</v>
      </c>
      <c r="E486">
        <v>23</v>
      </c>
      <c r="F486">
        <v>450</v>
      </c>
      <c r="G486">
        <v>0</v>
      </c>
      <c r="H486">
        <v>10</v>
      </c>
      <c r="I486" t="s">
        <v>444</v>
      </c>
      <c r="J486" t="s">
        <v>445</v>
      </c>
      <c r="K486">
        <v>150</v>
      </c>
      <c r="L486">
        <f t="shared" si="28"/>
        <v>10350</v>
      </c>
      <c r="M486">
        <f t="shared" si="29"/>
        <v>0</v>
      </c>
      <c r="N486">
        <f t="shared" si="30"/>
        <v>3450</v>
      </c>
      <c r="O486" s="5">
        <f t="shared" si="31"/>
        <v>6890</v>
      </c>
    </row>
    <row r="487" spans="1:15" x14ac:dyDescent="0.3">
      <c r="A487" t="s">
        <v>512</v>
      </c>
      <c r="B487" s="3">
        <v>46126</v>
      </c>
      <c r="C487" t="s">
        <v>443</v>
      </c>
      <c r="D487" t="s">
        <v>34</v>
      </c>
      <c r="E487">
        <v>1</v>
      </c>
      <c r="F487">
        <v>450</v>
      </c>
      <c r="G487">
        <v>0.35</v>
      </c>
      <c r="H487">
        <v>20</v>
      </c>
      <c r="I487" t="s">
        <v>444</v>
      </c>
      <c r="J487" t="s">
        <v>445</v>
      </c>
      <c r="K487">
        <v>150</v>
      </c>
      <c r="L487">
        <f t="shared" si="28"/>
        <v>450</v>
      </c>
      <c r="M487">
        <f t="shared" si="29"/>
        <v>157.5</v>
      </c>
      <c r="N487">
        <f t="shared" si="30"/>
        <v>150</v>
      </c>
      <c r="O487" s="5">
        <f t="shared" si="31"/>
        <v>280</v>
      </c>
    </row>
    <row r="488" spans="1:15" x14ac:dyDescent="0.3">
      <c r="A488" t="s">
        <v>513</v>
      </c>
      <c r="B488" s="3">
        <v>46328</v>
      </c>
      <c r="C488" t="s">
        <v>443</v>
      </c>
      <c r="D488" t="s">
        <v>22</v>
      </c>
      <c r="E488">
        <v>9</v>
      </c>
      <c r="F488">
        <v>450</v>
      </c>
      <c r="G488">
        <v>0</v>
      </c>
      <c r="H488">
        <v>20</v>
      </c>
      <c r="I488" t="s">
        <v>444</v>
      </c>
      <c r="J488" t="s">
        <v>445</v>
      </c>
      <c r="K488">
        <v>150</v>
      </c>
      <c r="L488">
        <f t="shared" si="28"/>
        <v>4050</v>
      </c>
      <c r="M488">
        <f t="shared" si="29"/>
        <v>0</v>
      </c>
      <c r="N488">
        <f t="shared" si="30"/>
        <v>1350</v>
      </c>
      <c r="O488" s="5">
        <f t="shared" si="31"/>
        <v>2680</v>
      </c>
    </row>
    <row r="489" spans="1:15" x14ac:dyDescent="0.3">
      <c r="A489" t="s">
        <v>514</v>
      </c>
      <c r="B489" s="3">
        <v>46386</v>
      </c>
      <c r="C489" t="s">
        <v>443</v>
      </c>
      <c r="D489" t="s">
        <v>22</v>
      </c>
      <c r="E489">
        <v>24</v>
      </c>
      <c r="F489">
        <v>450</v>
      </c>
      <c r="G489">
        <v>0</v>
      </c>
      <c r="H489">
        <v>5</v>
      </c>
      <c r="I489" t="s">
        <v>444</v>
      </c>
      <c r="J489" t="s">
        <v>445</v>
      </c>
      <c r="K489">
        <v>150</v>
      </c>
      <c r="L489">
        <f t="shared" si="28"/>
        <v>10800</v>
      </c>
      <c r="M489">
        <f t="shared" si="29"/>
        <v>0</v>
      </c>
      <c r="N489">
        <f t="shared" si="30"/>
        <v>3600</v>
      </c>
      <c r="O489" s="5">
        <f t="shared" si="31"/>
        <v>7195</v>
      </c>
    </row>
    <row r="490" spans="1:15" x14ac:dyDescent="0.3">
      <c r="A490" t="s">
        <v>515</v>
      </c>
      <c r="B490" s="3">
        <v>46342</v>
      </c>
      <c r="C490" t="s">
        <v>443</v>
      </c>
      <c r="D490" t="s">
        <v>17</v>
      </c>
      <c r="E490">
        <v>2</v>
      </c>
      <c r="F490">
        <v>450</v>
      </c>
      <c r="G490">
        <v>0.2</v>
      </c>
      <c r="H490">
        <v>20</v>
      </c>
      <c r="I490" t="s">
        <v>444</v>
      </c>
      <c r="J490" t="s">
        <v>445</v>
      </c>
      <c r="K490">
        <v>150</v>
      </c>
      <c r="L490">
        <f t="shared" si="28"/>
        <v>900</v>
      </c>
      <c r="M490">
        <f t="shared" si="29"/>
        <v>90</v>
      </c>
      <c r="N490">
        <f t="shared" si="30"/>
        <v>300</v>
      </c>
      <c r="O490" s="5">
        <f t="shared" si="31"/>
        <v>580</v>
      </c>
    </row>
    <row r="491" spans="1:15" x14ac:dyDescent="0.3">
      <c r="A491" t="s">
        <v>516</v>
      </c>
      <c r="B491" s="3">
        <v>46254</v>
      </c>
      <c r="C491" t="s">
        <v>443</v>
      </c>
      <c r="D491" t="s">
        <v>22</v>
      </c>
      <c r="E491">
        <v>2</v>
      </c>
      <c r="F491">
        <v>450</v>
      </c>
      <c r="G491">
        <v>0.35</v>
      </c>
      <c r="H491">
        <v>5</v>
      </c>
      <c r="I491" t="s">
        <v>444</v>
      </c>
      <c r="J491" t="s">
        <v>445</v>
      </c>
      <c r="K491">
        <v>150</v>
      </c>
      <c r="L491">
        <f t="shared" si="28"/>
        <v>900</v>
      </c>
      <c r="M491">
        <f t="shared" si="29"/>
        <v>157.5</v>
      </c>
      <c r="N491">
        <f t="shared" si="30"/>
        <v>300</v>
      </c>
      <c r="O491" s="5">
        <f t="shared" si="31"/>
        <v>595</v>
      </c>
    </row>
    <row r="492" spans="1:15" x14ac:dyDescent="0.3">
      <c r="A492" t="s">
        <v>517</v>
      </c>
      <c r="B492" s="3">
        <v>46271</v>
      </c>
      <c r="C492" t="s">
        <v>443</v>
      </c>
      <c r="D492" t="s">
        <v>24</v>
      </c>
      <c r="E492">
        <v>5</v>
      </c>
      <c r="F492">
        <v>450</v>
      </c>
      <c r="G492">
        <v>0.2</v>
      </c>
      <c r="H492">
        <v>10</v>
      </c>
      <c r="I492" t="s">
        <v>444</v>
      </c>
      <c r="J492" t="s">
        <v>445</v>
      </c>
      <c r="K492">
        <v>150</v>
      </c>
      <c r="L492">
        <f t="shared" si="28"/>
        <v>2250</v>
      </c>
      <c r="M492">
        <f t="shared" si="29"/>
        <v>90</v>
      </c>
      <c r="N492">
        <f t="shared" si="30"/>
        <v>750</v>
      </c>
      <c r="O492" s="5">
        <f t="shared" si="31"/>
        <v>1490</v>
      </c>
    </row>
    <row r="493" spans="1:15" x14ac:dyDescent="0.3">
      <c r="A493" t="s">
        <v>518</v>
      </c>
      <c r="B493" s="3">
        <v>46360</v>
      </c>
      <c r="C493" t="s">
        <v>443</v>
      </c>
      <c r="D493" t="s">
        <v>24</v>
      </c>
      <c r="E493">
        <v>21</v>
      </c>
      <c r="F493">
        <v>450</v>
      </c>
      <c r="G493">
        <v>0.1</v>
      </c>
      <c r="H493">
        <v>15</v>
      </c>
      <c r="I493" t="s">
        <v>444</v>
      </c>
      <c r="J493" t="s">
        <v>445</v>
      </c>
      <c r="K493">
        <v>150</v>
      </c>
      <c r="L493">
        <f t="shared" si="28"/>
        <v>9450</v>
      </c>
      <c r="M493">
        <f t="shared" si="29"/>
        <v>45</v>
      </c>
      <c r="N493">
        <f t="shared" si="30"/>
        <v>3150</v>
      </c>
      <c r="O493" s="5">
        <f t="shared" si="31"/>
        <v>6285</v>
      </c>
    </row>
    <row r="494" spans="1:15" x14ac:dyDescent="0.3">
      <c r="A494" t="s">
        <v>519</v>
      </c>
      <c r="B494" s="3">
        <v>46074</v>
      </c>
      <c r="C494" t="s">
        <v>443</v>
      </c>
      <c r="D494" t="s">
        <v>17</v>
      </c>
      <c r="E494">
        <v>13</v>
      </c>
      <c r="F494">
        <v>450</v>
      </c>
      <c r="G494">
        <v>0.1</v>
      </c>
      <c r="H494">
        <v>20</v>
      </c>
      <c r="I494" t="s">
        <v>444</v>
      </c>
      <c r="J494" t="s">
        <v>445</v>
      </c>
      <c r="K494">
        <v>150</v>
      </c>
      <c r="L494">
        <f t="shared" si="28"/>
        <v>5850</v>
      </c>
      <c r="M494">
        <f t="shared" si="29"/>
        <v>45</v>
      </c>
      <c r="N494">
        <f t="shared" si="30"/>
        <v>1950</v>
      </c>
      <c r="O494" s="5">
        <f t="shared" si="31"/>
        <v>3880</v>
      </c>
    </row>
    <row r="495" spans="1:15" x14ac:dyDescent="0.3">
      <c r="A495" t="s">
        <v>520</v>
      </c>
      <c r="B495" s="3">
        <v>46257</v>
      </c>
      <c r="C495" t="s">
        <v>443</v>
      </c>
      <c r="D495" t="s">
        <v>34</v>
      </c>
      <c r="E495">
        <v>1</v>
      </c>
      <c r="F495">
        <v>450</v>
      </c>
      <c r="G495">
        <v>0.2</v>
      </c>
      <c r="H495">
        <v>5</v>
      </c>
      <c r="I495" t="s">
        <v>444</v>
      </c>
      <c r="J495" t="s">
        <v>445</v>
      </c>
      <c r="K495">
        <v>150</v>
      </c>
      <c r="L495">
        <f t="shared" si="28"/>
        <v>450</v>
      </c>
      <c r="M495">
        <f t="shared" si="29"/>
        <v>90</v>
      </c>
      <c r="N495">
        <f t="shared" si="30"/>
        <v>150</v>
      </c>
      <c r="O495" s="5">
        <f t="shared" si="31"/>
        <v>295</v>
      </c>
    </row>
    <row r="496" spans="1:15" x14ac:dyDescent="0.3">
      <c r="A496" t="s">
        <v>521</v>
      </c>
      <c r="B496" s="3">
        <v>46225</v>
      </c>
      <c r="C496" t="s">
        <v>443</v>
      </c>
      <c r="D496" t="s">
        <v>17</v>
      </c>
      <c r="E496">
        <v>5</v>
      </c>
      <c r="F496">
        <v>450</v>
      </c>
      <c r="G496">
        <v>0.1</v>
      </c>
      <c r="H496">
        <v>15</v>
      </c>
      <c r="I496" t="s">
        <v>444</v>
      </c>
      <c r="J496" t="s">
        <v>445</v>
      </c>
      <c r="K496">
        <v>150</v>
      </c>
      <c r="L496">
        <f t="shared" si="28"/>
        <v>2250</v>
      </c>
      <c r="M496">
        <f t="shared" si="29"/>
        <v>45</v>
      </c>
      <c r="N496">
        <f t="shared" si="30"/>
        <v>750</v>
      </c>
      <c r="O496" s="5">
        <f t="shared" si="31"/>
        <v>1485</v>
      </c>
    </row>
    <row r="497" spans="1:15" x14ac:dyDescent="0.3">
      <c r="A497" t="s">
        <v>522</v>
      </c>
      <c r="B497" s="3">
        <v>46243</v>
      </c>
      <c r="C497" t="s">
        <v>443</v>
      </c>
      <c r="D497" t="s">
        <v>22</v>
      </c>
      <c r="E497">
        <v>12</v>
      </c>
      <c r="F497">
        <v>450</v>
      </c>
      <c r="G497">
        <v>0</v>
      </c>
      <c r="H497">
        <v>5</v>
      </c>
      <c r="I497" t="s">
        <v>444</v>
      </c>
      <c r="J497" t="s">
        <v>445</v>
      </c>
      <c r="K497">
        <v>150</v>
      </c>
      <c r="L497">
        <f t="shared" si="28"/>
        <v>5400</v>
      </c>
      <c r="M497">
        <f t="shared" si="29"/>
        <v>0</v>
      </c>
      <c r="N497">
        <f t="shared" si="30"/>
        <v>1800</v>
      </c>
      <c r="O497" s="5">
        <f t="shared" si="31"/>
        <v>3595</v>
      </c>
    </row>
    <row r="498" spans="1:15" x14ac:dyDescent="0.3">
      <c r="A498" t="s">
        <v>523</v>
      </c>
      <c r="B498" s="3">
        <v>46081</v>
      </c>
      <c r="C498" t="s">
        <v>443</v>
      </c>
      <c r="D498" t="s">
        <v>17</v>
      </c>
      <c r="E498">
        <v>7</v>
      </c>
      <c r="F498">
        <v>450</v>
      </c>
      <c r="G498">
        <v>0.1</v>
      </c>
      <c r="H498">
        <v>15</v>
      </c>
      <c r="I498" t="s">
        <v>444</v>
      </c>
      <c r="J498" t="s">
        <v>445</v>
      </c>
      <c r="K498">
        <v>150</v>
      </c>
      <c r="L498">
        <f t="shared" si="28"/>
        <v>3150</v>
      </c>
      <c r="M498">
        <f t="shared" si="29"/>
        <v>45</v>
      </c>
      <c r="N498">
        <f t="shared" si="30"/>
        <v>1050</v>
      </c>
      <c r="O498" s="5">
        <f t="shared" si="31"/>
        <v>2085</v>
      </c>
    </row>
    <row r="499" spans="1:15" x14ac:dyDescent="0.3">
      <c r="A499" t="s">
        <v>524</v>
      </c>
      <c r="B499" s="3">
        <v>46201</v>
      </c>
      <c r="C499" t="s">
        <v>443</v>
      </c>
      <c r="D499" t="s">
        <v>34</v>
      </c>
      <c r="E499">
        <v>6</v>
      </c>
      <c r="F499">
        <v>450</v>
      </c>
      <c r="G499">
        <v>0.2</v>
      </c>
      <c r="H499">
        <v>20</v>
      </c>
      <c r="I499" t="s">
        <v>444</v>
      </c>
      <c r="J499" t="s">
        <v>445</v>
      </c>
      <c r="K499">
        <v>150</v>
      </c>
      <c r="L499">
        <f t="shared" si="28"/>
        <v>2700</v>
      </c>
      <c r="M499">
        <f t="shared" si="29"/>
        <v>90</v>
      </c>
      <c r="N499">
        <f t="shared" si="30"/>
        <v>900</v>
      </c>
      <c r="O499" s="5">
        <f t="shared" si="31"/>
        <v>1780</v>
      </c>
    </row>
    <row r="500" spans="1:15" x14ac:dyDescent="0.3">
      <c r="A500" t="s">
        <v>525</v>
      </c>
      <c r="B500" s="3">
        <v>46200</v>
      </c>
      <c r="C500" t="s">
        <v>443</v>
      </c>
      <c r="D500" t="s">
        <v>24</v>
      </c>
      <c r="E500">
        <v>20</v>
      </c>
      <c r="F500">
        <v>450</v>
      </c>
      <c r="G500">
        <v>0</v>
      </c>
      <c r="H500">
        <v>5</v>
      </c>
      <c r="I500" t="s">
        <v>444</v>
      </c>
      <c r="J500" t="s">
        <v>445</v>
      </c>
      <c r="K500">
        <v>150</v>
      </c>
      <c r="L500">
        <f t="shared" si="28"/>
        <v>9000</v>
      </c>
      <c r="M500">
        <f t="shared" si="29"/>
        <v>0</v>
      </c>
      <c r="N500">
        <f t="shared" si="30"/>
        <v>3000</v>
      </c>
      <c r="O500" s="5">
        <f t="shared" si="31"/>
        <v>5995</v>
      </c>
    </row>
    <row r="501" spans="1:15" x14ac:dyDescent="0.3">
      <c r="A501" t="s">
        <v>526</v>
      </c>
      <c r="B501" s="3">
        <v>46118</v>
      </c>
      <c r="C501" t="s">
        <v>443</v>
      </c>
      <c r="D501" t="s">
        <v>24</v>
      </c>
      <c r="E501">
        <v>4</v>
      </c>
      <c r="F501">
        <v>450</v>
      </c>
      <c r="G501">
        <v>0</v>
      </c>
      <c r="H501">
        <v>20</v>
      </c>
      <c r="I501" t="s">
        <v>444</v>
      </c>
      <c r="J501" t="s">
        <v>445</v>
      </c>
      <c r="K501">
        <v>150</v>
      </c>
      <c r="L501">
        <f t="shared" si="28"/>
        <v>1800</v>
      </c>
      <c r="M501">
        <f t="shared" si="29"/>
        <v>0</v>
      </c>
      <c r="N501">
        <f t="shared" si="30"/>
        <v>600</v>
      </c>
      <c r="O501" s="5">
        <f t="shared" si="31"/>
        <v>1180</v>
      </c>
    </row>
    <row r="502" spans="1:15" x14ac:dyDescent="0.3">
      <c r="A502" t="s">
        <v>527</v>
      </c>
      <c r="B502" s="3">
        <v>46064</v>
      </c>
      <c r="C502" t="s">
        <v>443</v>
      </c>
      <c r="D502" t="s">
        <v>22</v>
      </c>
      <c r="E502">
        <v>3</v>
      </c>
      <c r="F502">
        <v>450</v>
      </c>
      <c r="G502">
        <v>0.1</v>
      </c>
      <c r="H502">
        <v>5</v>
      </c>
      <c r="I502" t="s">
        <v>444</v>
      </c>
      <c r="J502" t="s">
        <v>445</v>
      </c>
      <c r="K502">
        <v>150</v>
      </c>
      <c r="L502">
        <f t="shared" si="28"/>
        <v>1350</v>
      </c>
      <c r="M502">
        <f t="shared" si="29"/>
        <v>45</v>
      </c>
      <c r="N502">
        <f t="shared" si="30"/>
        <v>450</v>
      </c>
      <c r="O502" s="5">
        <f t="shared" si="31"/>
        <v>895</v>
      </c>
    </row>
    <row r="503" spans="1:15" x14ac:dyDescent="0.3">
      <c r="A503" t="s">
        <v>528</v>
      </c>
      <c r="B503" s="3">
        <v>46202</v>
      </c>
      <c r="C503" t="s">
        <v>443</v>
      </c>
      <c r="D503" t="s">
        <v>17</v>
      </c>
      <c r="E503">
        <v>21</v>
      </c>
      <c r="F503">
        <v>450</v>
      </c>
      <c r="G503">
        <v>0</v>
      </c>
      <c r="H503">
        <v>20</v>
      </c>
      <c r="I503" t="s">
        <v>444</v>
      </c>
      <c r="J503" t="s">
        <v>445</v>
      </c>
      <c r="K503">
        <v>150</v>
      </c>
      <c r="L503">
        <f t="shared" si="28"/>
        <v>9450</v>
      </c>
      <c r="M503">
        <f t="shared" si="29"/>
        <v>0</v>
      </c>
      <c r="N503">
        <f t="shared" si="30"/>
        <v>3150</v>
      </c>
      <c r="O503" s="5">
        <f t="shared" si="31"/>
        <v>6280</v>
      </c>
    </row>
    <row r="504" spans="1:15" x14ac:dyDescent="0.3">
      <c r="A504" t="s">
        <v>529</v>
      </c>
      <c r="B504" s="3">
        <v>46088</v>
      </c>
      <c r="C504" t="s">
        <v>443</v>
      </c>
      <c r="D504" t="s">
        <v>34</v>
      </c>
      <c r="E504">
        <v>13</v>
      </c>
      <c r="F504">
        <v>450</v>
      </c>
      <c r="G504">
        <v>0</v>
      </c>
      <c r="H504">
        <v>15</v>
      </c>
      <c r="I504" t="s">
        <v>444</v>
      </c>
      <c r="J504" t="s">
        <v>445</v>
      </c>
      <c r="K504">
        <v>150</v>
      </c>
      <c r="L504">
        <f t="shared" si="28"/>
        <v>5850</v>
      </c>
      <c r="M504">
        <f t="shared" si="29"/>
        <v>0</v>
      </c>
      <c r="N504">
        <f t="shared" si="30"/>
        <v>1950</v>
      </c>
      <c r="O504" s="5">
        <f t="shared" si="31"/>
        <v>3885</v>
      </c>
    </row>
    <row r="505" spans="1:15" x14ac:dyDescent="0.3">
      <c r="A505" t="s">
        <v>530</v>
      </c>
      <c r="B505" s="3">
        <v>46279</v>
      </c>
      <c r="C505" t="s">
        <v>443</v>
      </c>
      <c r="D505" t="s">
        <v>17</v>
      </c>
      <c r="E505">
        <v>8</v>
      </c>
      <c r="F505">
        <v>450</v>
      </c>
      <c r="G505">
        <v>0.35</v>
      </c>
      <c r="H505">
        <v>20</v>
      </c>
      <c r="I505" t="s">
        <v>444</v>
      </c>
      <c r="J505" t="s">
        <v>445</v>
      </c>
      <c r="K505">
        <v>150</v>
      </c>
      <c r="L505">
        <f t="shared" si="28"/>
        <v>3600</v>
      </c>
      <c r="M505">
        <f t="shared" si="29"/>
        <v>157.5</v>
      </c>
      <c r="N505">
        <f t="shared" si="30"/>
        <v>1200</v>
      </c>
      <c r="O505" s="5">
        <f t="shared" si="31"/>
        <v>2380</v>
      </c>
    </row>
    <row r="506" spans="1:15" x14ac:dyDescent="0.3">
      <c r="A506" t="s">
        <v>531</v>
      </c>
      <c r="B506" s="3">
        <v>46179</v>
      </c>
      <c r="C506" t="s">
        <v>443</v>
      </c>
      <c r="D506" t="s">
        <v>24</v>
      </c>
      <c r="E506">
        <v>15</v>
      </c>
      <c r="F506">
        <v>450</v>
      </c>
      <c r="G506">
        <v>0.2</v>
      </c>
      <c r="H506">
        <v>10</v>
      </c>
      <c r="I506" t="s">
        <v>444</v>
      </c>
      <c r="J506" t="s">
        <v>445</v>
      </c>
      <c r="K506">
        <v>150</v>
      </c>
      <c r="L506">
        <f t="shared" si="28"/>
        <v>6750</v>
      </c>
      <c r="M506">
        <f t="shared" si="29"/>
        <v>90</v>
      </c>
      <c r="N506">
        <f t="shared" si="30"/>
        <v>2250</v>
      </c>
      <c r="O506" s="5">
        <f t="shared" si="31"/>
        <v>4490</v>
      </c>
    </row>
    <row r="507" spans="1:15" x14ac:dyDescent="0.3">
      <c r="A507" t="s">
        <v>532</v>
      </c>
      <c r="B507" s="3">
        <v>46184</v>
      </c>
      <c r="C507" t="s">
        <v>443</v>
      </c>
      <c r="D507" t="s">
        <v>22</v>
      </c>
      <c r="E507">
        <v>19</v>
      </c>
      <c r="F507">
        <v>450</v>
      </c>
      <c r="G507">
        <v>0</v>
      </c>
      <c r="H507">
        <v>5</v>
      </c>
      <c r="I507" t="s">
        <v>444</v>
      </c>
      <c r="J507" t="s">
        <v>445</v>
      </c>
      <c r="K507">
        <v>150</v>
      </c>
      <c r="L507">
        <f t="shared" si="28"/>
        <v>8550</v>
      </c>
      <c r="M507">
        <f t="shared" si="29"/>
        <v>0</v>
      </c>
      <c r="N507">
        <f t="shared" si="30"/>
        <v>2850</v>
      </c>
      <c r="O507" s="5">
        <f t="shared" si="31"/>
        <v>5695</v>
      </c>
    </row>
    <row r="508" spans="1:15" x14ac:dyDescent="0.3">
      <c r="A508" t="s">
        <v>533</v>
      </c>
      <c r="B508" s="3">
        <v>46246</v>
      </c>
      <c r="C508" t="s">
        <v>443</v>
      </c>
      <c r="D508" t="s">
        <v>34</v>
      </c>
      <c r="E508">
        <v>15</v>
      </c>
      <c r="F508">
        <v>450</v>
      </c>
      <c r="G508">
        <v>0.2</v>
      </c>
      <c r="H508">
        <v>20</v>
      </c>
      <c r="I508" t="s">
        <v>444</v>
      </c>
      <c r="J508" t="s">
        <v>445</v>
      </c>
      <c r="K508">
        <v>150</v>
      </c>
      <c r="L508">
        <f t="shared" si="28"/>
        <v>6750</v>
      </c>
      <c r="M508">
        <f t="shared" si="29"/>
        <v>90</v>
      </c>
      <c r="N508">
        <f t="shared" si="30"/>
        <v>2250</v>
      </c>
      <c r="O508" s="5">
        <f t="shared" si="31"/>
        <v>4480</v>
      </c>
    </row>
    <row r="509" spans="1:15" x14ac:dyDescent="0.3">
      <c r="A509" t="s">
        <v>534</v>
      </c>
      <c r="B509" s="3">
        <v>46085</v>
      </c>
      <c r="C509" t="s">
        <v>443</v>
      </c>
      <c r="D509" t="s">
        <v>24</v>
      </c>
      <c r="E509">
        <v>11</v>
      </c>
      <c r="F509">
        <v>450</v>
      </c>
      <c r="G509">
        <v>0.1</v>
      </c>
      <c r="H509">
        <v>10</v>
      </c>
      <c r="I509" t="s">
        <v>444</v>
      </c>
      <c r="J509" t="s">
        <v>445</v>
      </c>
      <c r="K509">
        <v>150</v>
      </c>
      <c r="L509">
        <f t="shared" si="28"/>
        <v>4950</v>
      </c>
      <c r="M509">
        <f t="shared" si="29"/>
        <v>45</v>
      </c>
      <c r="N509">
        <f t="shared" si="30"/>
        <v>1650</v>
      </c>
      <c r="O509" s="5">
        <f t="shared" si="31"/>
        <v>3290</v>
      </c>
    </row>
    <row r="510" spans="1:15" x14ac:dyDescent="0.3">
      <c r="A510" t="s">
        <v>535</v>
      </c>
      <c r="B510" s="3">
        <v>46204</v>
      </c>
      <c r="C510" t="s">
        <v>443</v>
      </c>
      <c r="D510" t="s">
        <v>34</v>
      </c>
      <c r="E510">
        <v>4</v>
      </c>
      <c r="F510">
        <v>450</v>
      </c>
      <c r="G510">
        <v>0.35</v>
      </c>
      <c r="H510">
        <v>5</v>
      </c>
      <c r="I510" t="s">
        <v>444</v>
      </c>
      <c r="J510" t="s">
        <v>445</v>
      </c>
      <c r="K510">
        <v>150</v>
      </c>
      <c r="L510">
        <f t="shared" si="28"/>
        <v>1800</v>
      </c>
      <c r="M510">
        <f t="shared" si="29"/>
        <v>157.5</v>
      </c>
      <c r="N510">
        <f t="shared" si="30"/>
        <v>600</v>
      </c>
      <c r="O510" s="5">
        <f t="shared" si="31"/>
        <v>1195</v>
      </c>
    </row>
    <row r="511" spans="1:15" x14ac:dyDescent="0.3">
      <c r="A511" t="s">
        <v>536</v>
      </c>
      <c r="B511" s="3">
        <v>46345</v>
      </c>
      <c r="C511" t="s">
        <v>443</v>
      </c>
      <c r="D511" t="s">
        <v>17</v>
      </c>
      <c r="E511">
        <v>18</v>
      </c>
      <c r="F511">
        <v>450</v>
      </c>
      <c r="G511">
        <v>0.1</v>
      </c>
      <c r="H511">
        <v>20</v>
      </c>
      <c r="I511" t="s">
        <v>444</v>
      </c>
      <c r="J511" t="s">
        <v>445</v>
      </c>
      <c r="K511">
        <v>150</v>
      </c>
      <c r="L511">
        <f t="shared" si="28"/>
        <v>8100</v>
      </c>
      <c r="M511">
        <f t="shared" si="29"/>
        <v>45</v>
      </c>
      <c r="N511">
        <f t="shared" si="30"/>
        <v>2700</v>
      </c>
      <c r="O511" s="5">
        <f t="shared" si="31"/>
        <v>5380</v>
      </c>
    </row>
    <row r="512" spans="1:15" x14ac:dyDescent="0.3">
      <c r="A512" t="s">
        <v>537</v>
      </c>
      <c r="B512" s="3">
        <v>46122</v>
      </c>
      <c r="C512" t="s">
        <v>443</v>
      </c>
      <c r="D512" t="s">
        <v>34</v>
      </c>
      <c r="E512">
        <v>8</v>
      </c>
      <c r="F512">
        <v>450</v>
      </c>
      <c r="G512">
        <v>0.2</v>
      </c>
      <c r="H512">
        <v>10</v>
      </c>
      <c r="I512" t="s">
        <v>444</v>
      </c>
      <c r="J512" t="s">
        <v>445</v>
      </c>
      <c r="K512">
        <v>150</v>
      </c>
      <c r="L512">
        <f t="shared" si="28"/>
        <v>3600</v>
      </c>
      <c r="M512">
        <f t="shared" si="29"/>
        <v>90</v>
      </c>
      <c r="N512">
        <f t="shared" si="30"/>
        <v>1200</v>
      </c>
      <c r="O512" s="5">
        <f t="shared" si="31"/>
        <v>2390</v>
      </c>
    </row>
    <row r="513" spans="1:15" x14ac:dyDescent="0.3">
      <c r="A513" t="s">
        <v>538</v>
      </c>
      <c r="B513" s="3">
        <v>46121</v>
      </c>
      <c r="C513" t="s">
        <v>443</v>
      </c>
      <c r="D513" t="s">
        <v>17</v>
      </c>
      <c r="E513">
        <v>8</v>
      </c>
      <c r="F513">
        <v>450</v>
      </c>
      <c r="G513">
        <v>0.1</v>
      </c>
      <c r="H513">
        <v>20</v>
      </c>
      <c r="I513" t="s">
        <v>444</v>
      </c>
      <c r="J513" t="s">
        <v>445</v>
      </c>
      <c r="K513">
        <v>150</v>
      </c>
      <c r="L513">
        <f t="shared" si="28"/>
        <v>3600</v>
      </c>
      <c r="M513">
        <f t="shared" si="29"/>
        <v>45</v>
      </c>
      <c r="N513">
        <f t="shared" si="30"/>
        <v>1200</v>
      </c>
      <c r="O513" s="5">
        <f t="shared" si="31"/>
        <v>2380</v>
      </c>
    </row>
    <row r="514" spans="1:15" x14ac:dyDescent="0.3">
      <c r="A514" t="s">
        <v>539</v>
      </c>
      <c r="B514" s="3">
        <v>46382</v>
      </c>
      <c r="C514" t="s">
        <v>443</v>
      </c>
      <c r="D514" t="s">
        <v>24</v>
      </c>
      <c r="E514">
        <v>20</v>
      </c>
      <c r="F514">
        <v>450</v>
      </c>
      <c r="G514">
        <v>0.35</v>
      </c>
      <c r="H514">
        <v>10</v>
      </c>
      <c r="I514" t="s">
        <v>444</v>
      </c>
      <c r="J514" t="s">
        <v>445</v>
      </c>
      <c r="K514">
        <v>150</v>
      </c>
      <c r="L514">
        <f t="shared" ref="L514:L577" si="32">E514*F514</f>
        <v>9000</v>
      </c>
      <c r="M514">
        <f t="shared" ref="M514:M577" si="33">F514*G514</f>
        <v>157.5</v>
      </c>
      <c r="N514">
        <f t="shared" ref="N514:N577" si="34">E514*K514</f>
        <v>3000</v>
      </c>
      <c r="O514" s="5">
        <f t="shared" ref="O514:O577" si="35">L514-H514-N514</f>
        <v>5990</v>
      </c>
    </row>
    <row r="515" spans="1:15" x14ac:dyDescent="0.3">
      <c r="A515" t="s">
        <v>540</v>
      </c>
      <c r="B515" s="3">
        <v>46058</v>
      </c>
      <c r="C515" t="s">
        <v>443</v>
      </c>
      <c r="D515" t="s">
        <v>22</v>
      </c>
      <c r="E515">
        <v>6</v>
      </c>
      <c r="F515">
        <v>450</v>
      </c>
      <c r="G515">
        <v>0.1</v>
      </c>
      <c r="H515">
        <v>5</v>
      </c>
      <c r="I515" t="s">
        <v>444</v>
      </c>
      <c r="J515" t="s">
        <v>445</v>
      </c>
      <c r="K515">
        <v>150</v>
      </c>
      <c r="L515">
        <f t="shared" si="32"/>
        <v>2700</v>
      </c>
      <c r="M515">
        <f t="shared" si="33"/>
        <v>45</v>
      </c>
      <c r="N515">
        <f t="shared" si="34"/>
        <v>900</v>
      </c>
      <c r="O515" s="5">
        <f t="shared" si="35"/>
        <v>1795</v>
      </c>
    </row>
    <row r="516" spans="1:15" x14ac:dyDescent="0.3">
      <c r="A516" t="s">
        <v>541</v>
      </c>
      <c r="B516" s="3">
        <v>46365</v>
      </c>
      <c r="C516" t="s">
        <v>443</v>
      </c>
      <c r="D516" t="s">
        <v>24</v>
      </c>
      <c r="E516">
        <v>7</v>
      </c>
      <c r="F516">
        <v>450</v>
      </c>
      <c r="G516">
        <v>0.35</v>
      </c>
      <c r="H516">
        <v>5</v>
      </c>
      <c r="I516" t="s">
        <v>444</v>
      </c>
      <c r="J516" t="s">
        <v>445</v>
      </c>
      <c r="K516">
        <v>150</v>
      </c>
      <c r="L516">
        <f t="shared" si="32"/>
        <v>3150</v>
      </c>
      <c r="M516">
        <f t="shared" si="33"/>
        <v>157.5</v>
      </c>
      <c r="N516">
        <f t="shared" si="34"/>
        <v>1050</v>
      </c>
      <c r="O516" s="5">
        <f t="shared" si="35"/>
        <v>2095</v>
      </c>
    </row>
    <row r="517" spans="1:15" x14ac:dyDescent="0.3">
      <c r="A517" t="s">
        <v>542</v>
      </c>
      <c r="B517" s="3">
        <v>46371</v>
      </c>
      <c r="C517" t="s">
        <v>443</v>
      </c>
      <c r="D517" t="s">
        <v>22</v>
      </c>
      <c r="E517">
        <v>24</v>
      </c>
      <c r="F517">
        <v>450</v>
      </c>
      <c r="G517">
        <v>0</v>
      </c>
      <c r="H517">
        <v>20</v>
      </c>
      <c r="I517" t="s">
        <v>444</v>
      </c>
      <c r="J517" t="s">
        <v>445</v>
      </c>
      <c r="K517">
        <v>150</v>
      </c>
      <c r="L517">
        <f t="shared" si="32"/>
        <v>10800</v>
      </c>
      <c r="M517">
        <f t="shared" si="33"/>
        <v>0</v>
      </c>
      <c r="N517">
        <f t="shared" si="34"/>
        <v>3600</v>
      </c>
      <c r="O517" s="5">
        <f t="shared" si="35"/>
        <v>7180</v>
      </c>
    </row>
    <row r="518" spans="1:15" x14ac:dyDescent="0.3">
      <c r="A518" t="s">
        <v>543</v>
      </c>
      <c r="B518" s="3">
        <v>46295</v>
      </c>
      <c r="C518" t="s">
        <v>443</v>
      </c>
      <c r="D518" t="s">
        <v>34</v>
      </c>
      <c r="E518">
        <v>16</v>
      </c>
      <c r="F518">
        <v>450</v>
      </c>
      <c r="G518">
        <v>0.35</v>
      </c>
      <c r="H518">
        <v>5</v>
      </c>
      <c r="I518" t="s">
        <v>444</v>
      </c>
      <c r="J518" t="s">
        <v>445</v>
      </c>
      <c r="K518">
        <v>150</v>
      </c>
      <c r="L518">
        <f t="shared" si="32"/>
        <v>7200</v>
      </c>
      <c r="M518">
        <f t="shared" si="33"/>
        <v>157.5</v>
      </c>
      <c r="N518">
        <f t="shared" si="34"/>
        <v>2400</v>
      </c>
      <c r="O518" s="5">
        <f t="shared" si="35"/>
        <v>4795</v>
      </c>
    </row>
    <row r="519" spans="1:15" x14ac:dyDescent="0.3">
      <c r="A519" t="s">
        <v>544</v>
      </c>
      <c r="B519" s="3">
        <v>46153</v>
      </c>
      <c r="C519" t="s">
        <v>443</v>
      </c>
      <c r="D519" t="s">
        <v>22</v>
      </c>
      <c r="E519">
        <v>12</v>
      </c>
      <c r="F519">
        <v>450</v>
      </c>
      <c r="G519">
        <v>0.35</v>
      </c>
      <c r="H519">
        <v>15</v>
      </c>
      <c r="I519" t="s">
        <v>444</v>
      </c>
      <c r="J519" t="s">
        <v>445</v>
      </c>
      <c r="K519">
        <v>150</v>
      </c>
      <c r="L519">
        <f t="shared" si="32"/>
        <v>5400</v>
      </c>
      <c r="M519">
        <f t="shared" si="33"/>
        <v>157.5</v>
      </c>
      <c r="N519">
        <f t="shared" si="34"/>
        <v>1800</v>
      </c>
      <c r="O519" s="5">
        <f t="shared" si="35"/>
        <v>3585</v>
      </c>
    </row>
    <row r="520" spans="1:15" x14ac:dyDescent="0.3">
      <c r="A520" t="s">
        <v>545</v>
      </c>
      <c r="B520" s="3">
        <v>46267</v>
      </c>
      <c r="C520" t="s">
        <v>443</v>
      </c>
      <c r="D520" t="s">
        <v>24</v>
      </c>
      <c r="E520">
        <v>1</v>
      </c>
      <c r="F520">
        <v>450</v>
      </c>
      <c r="G520">
        <v>0.35</v>
      </c>
      <c r="H520">
        <v>20</v>
      </c>
      <c r="I520" t="s">
        <v>444</v>
      </c>
      <c r="J520" t="s">
        <v>445</v>
      </c>
      <c r="K520">
        <v>150</v>
      </c>
      <c r="L520">
        <f t="shared" si="32"/>
        <v>450</v>
      </c>
      <c r="M520">
        <f t="shared" si="33"/>
        <v>157.5</v>
      </c>
      <c r="N520">
        <f t="shared" si="34"/>
        <v>150</v>
      </c>
      <c r="O520" s="5">
        <f t="shared" si="35"/>
        <v>280</v>
      </c>
    </row>
    <row r="521" spans="1:15" x14ac:dyDescent="0.3">
      <c r="A521" t="s">
        <v>546</v>
      </c>
      <c r="B521" s="3">
        <v>46065</v>
      </c>
      <c r="C521" t="s">
        <v>443</v>
      </c>
      <c r="D521" t="s">
        <v>22</v>
      </c>
      <c r="E521">
        <v>19</v>
      </c>
      <c r="F521">
        <v>450</v>
      </c>
      <c r="G521">
        <v>0.2</v>
      </c>
      <c r="H521">
        <v>10</v>
      </c>
      <c r="I521" t="s">
        <v>444</v>
      </c>
      <c r="J521" t="s">
        <v>445</v>
      </c>
      <c r="K521">
        <v>150</v>
      </c>
      <c r="L521">
        <f t="shared" si="32"/>
        <v>8550</v>
      </c>
      <c r="M521">
        <f t="shared" si="33"/>
        <v>90</v>
      </c>
      <c r="N521">
        <f t="shared" si="34"/>
        <v>2850</v>
      </c>
      <c r="O521" s="5">
        <f t="shared" si="35"/>
        <v>5690</v>
      </c>
    </row>
    <row r="522" spans="1:15" x14ac:dyDescent="0.3">
      <c r="A522" t="s">
        <v>547</v>
      </c>
      <c r="B522" s="3">
        <v>46267</v>
      </c>
      <c r="C522" t="s">
        <v>443</v>
      </c>
      <c r="D522" t="s">
        <v>22</v>
      </c>
      <c r="E522">
        <v>23</v>
      </c>
      <c r="F522">
        <v>450</v>
      </c>
      <c r="G522">
        <v>0.2</v>
      </c>
      <c r="H522">
        <v>5</v>
      </c>
      <c r="I522" t="s">
        <v>444</v>
      </c>
      <c r="J522" t="s">
        <v>445</v>
      </c>
      <c r="K522">
        <v>150</v>
      </c>
      <c r="L522">
        <f t="shared" si="32"/>
        <v>10350</v>
      </c>
      <c r="M522">
        <f t="shared" si="33"/>
        <v>90</v>
      </c>
      <c r="N522">
        <f t="shared" si="34"/>
        <v>3450</v>
      </c>
      <c r="O522" s="5">
        <f t="shared" si="35"/>
        <v>6895</v>
      </c>
    </row>
    <row r="523" spans="1:15" x14ac:dyDescent="0.3">
      <c r="A523" t="s">
        <v>548</v>
      </c>
      <c r="B523" s="3">
        <v>46230</v>
      </c>
      <c r="C523" t="s">
        <v>443</v>
      </c>
      <c r="D523" t="s">
        <v>22</v>
      </c>
      <c r="E523">
        <v>25</v>
      </c>
      <c r="F523">
        <v>450</v>
      </c>
      <c r="G523">
        <v>0.1</v>
      </c>
      <c r="H523">
        <v>5</v>
      </c>
      <c r="I523" t="s">
        <v>444</v>
      </c>
      <c r="J523" t="s">
        <v>445</v>
      </c>
      <c r="K523">
        <v>150</v>
      </c>
      <c r="L523">
        <f t="shared" si="32"/>
        <v>11250</v>
      </c>
      <c r="M523">
        <f t="shared" si="33"/>
        <v>45</v>
      </c>
      <c r="N523">
        <f t="shared" si="34"/>
        <v>3750</v>
      </c>
      <c r="O523" s="5">
        <f t="shared" si="35"/>
        <v>7495</v>
      </c>
    </row>
    <row r="524" spans="1:15" x14ac:dyDescent="0.3">
      <c r="A524" t="s">
        <v>549</v>
      </c>
      <c r="B524" s="3">
        <v>46107</v>
      </c>
      <c r="C524" t="s">
        <v>443</v>
      </c>
      <c r="D524" t="s">
        <v>17</v>
      </c>
      <c r="E524">
        <v>24</v>
      </c>
      <c r="F524">
        <v>450</v>
      </c>
      <c r="G524">
        <v>0</v>
      </c>
      <c r="H524">
        <v>20</v>
      </c>
      <c r="I524" t="s">
        <v>444</v>
      </c>
      <c r="J524" t="s">
        <v>445</v>
      </c>
      <c r="K524">
        <v>150</v>
      </c>
      <c r="L524">
        <f t="shared" si="32"/>
        <v>10800</v>
      </c>
      <c r="M524">
        <f t="shared" si="33"/>
        <v>0</v>
      </c>
      <c r="N524">
        <f t="shared" si="34"/>
        <v>3600</v>
      </c>
      <c r="O524" s="5">
        <f t="shared" si="35"/>
        <v>7180</v>
      </c>
    </row>
    <row r="525" spans="1:15" x14ac:dyDescent="0.3">
      <c r="A525" t="s">
        <v>550</v>
      </c>
      <c r="B525" s="3">
        <v>46249</v>
      </c>
      <c r="C525" t="s">
        <v>443</v>
      </c>
      <c r="D525" t="s">
        <v>34</v>
      </c>
      <c r="E525">
        <v>5</v>
      </c>
      <c r="F525">
        <v>450</v>
      </c>
      <c r="G525">
        <v>0.1</v>
      </c>
      <c r="H525">
        <v>20</v>
      </c>
      <c r="I525" t="s">
        <v>444</v>
      </c>
      <c r="J525" t="s">
        <v>445</v>
      </c>
      <c r="K525">
        <v>150</v>
      </c>
      <c r="L525">
        <f t="shared" si="32"/>
        <v>2250</v>
      </c>
      <c r="M525">
        <f t="shared" si="33"/>
        <v>45</v>
      </c>
      <c r="N525">
        <f t="shared" si="34"/>
        <v>750</v>
      </c>
      <c r="O525" s="5">
        <f t="shared" si="35"/>
        <v>1480</v>
      </c>
    </row>
    <row r="526" spans="1:15" x14ac:dyDescent="0.3">
      <c r="A526" t="s">
        <v>551</v>
      </c>
      <c r="B526" s="3">
        <v>46045</v>
      </c>
      <c r="C526" t="s">
        <v>443</v>
      </c>
      <c r="D526" t="s">
        <v>22</v>
      </c>
      <c r="E526">
        <v>4</v>
      </c>
      <c r="F526">
        <v>450</v>
      </c>
      <c r="G526">
        <v>0</v>
      </c>
      <c r="H526">
        <v>15</v>
      </c>
      <c r="I526" t="s">
        <v>444</v>
      </c>
      <c r="J526" t="s">
        <v>445</v>
      </c>
      <c r="K526">
        <v>150</v>
      </c>
      <c r="L526">
        <f t="shared" si="32"/>
        <v>1800</v>
      </c>
      <c r="M526">
        <f t="shared" si="33"/>
        <v>0</v>
      </c>
      <c r="N526">
        <f t="shared" si="34"/>
        <v>600</v>
      </c>
      <c r="O526" s="5">
        <f t="shared" si="35"/>
        <v>1185</v>
      </c>
    </row>
    <row r="527" spans="1:15" x14ac:dyDescent="0.3">
      <c r="A527" t="s">
        <v>552</v>
      </c>
      <c r="B527" s="3">
        <v>46068</v>
      </c>
      <c r="C527" t="s">
        <v>443</v>
      </c>
      <c r="D527" t="s">
        <v>34</v>
      </c>
      <c r="E527">
        <v>4</v>
      </c>
      <c r="F527">
        <v>450</v>
      </c>
      <c r="G527">
        <v>0.1</v>
      </c>
      <c r="H527">
        <v>5</v>
      </c>
      <c r="I527" t="s">
        <v>444</v>
      </c>
      <c r="J527" t="s">
        <v>445</v>
      </c>
      <c r="K527">
        <v>150</v>
      </c>
      <c r="L527">
        <f t="shared" si="32"/>
        <v>1800</v>
      </c>
      <c r="M527">
        <f t="shared" si="33"/>
        <v>45</v>
      </c>
      <c r="N527">
        <f t="shared" si="34"/>
        <v>600</v>
      </c>
      <c r="O527" s="5">
        <f t="shared" si="35"/>
        <v>1195</v>
      </c>
    </row>
    <row r="528" spans="1:15" x14ac:dyDescent="0.3">
      <c r="A528" t="s">
        <v>553</v>
      </c>
      <c r="B528" s="3">
        <v>46341</v>
      </c>
      <c r="C528" t="s">
        <v>443</v>
      </c>
      <c r="D528" t="s">
        <v>17</v>
      </c>
      <c r="E528">
        <v>16</v>
      </c>
      <c r="F528">
        <v>450</v>
      </c>
      <c r="G528">
        <v>0.1</v>
      </c>
      <c r="H528">
        <v>15</v>
      </c>
      <c r="I528" t="s">
        <v>444</v>
      </c>
      <c r="J528" t="s">
        <v>445</v>
      </c>
      <c r="K528">
        <v>150</v>
      </c>
      <c r="L528">
        <f t="shared" si="32"/>
        <v>7200</v>
      </c>
      <c r="M528">
        <f t="shared" si="33"/>
        <v>45</v>
      </c>
      <c r="N528">
        <f t="shared" si="34"/>
        <v>2400</v>
      </c>
      <c r="O528" s="5">
        <f t="shared" si="35"/>
        <v>4785</v>
      </c>
    </row>
    <row r="529" spans="1:15" x14ac:dyDescent="0.3">
      <c r="A529" t="s">
        <v>554</v>
      </c>
      <c r="B529" s="3">
        <v>46026</v>
      </c>
      <c r="C529" t="s">
        <v>443</v>
      </c>
      <c r="D529" t="s">
        <v>17</v>
      </c>
      <c r="E529">
        <v>20</v>
      </c>
      <c r="F529">
        <v>450</v>
      </c>
      <c r="G529">
        <v>0.1</v>
      </c>
      <c r="H529">
        <v>5</v>
      </c>
      <c r="I529" t="s">
        <v>444</v>
      </c>
      <c r="J529" t="s">
        <v>445</v>
      </c>
      <c r="K529">
        <v>150</v>
      </c>
      <c r="L529">
        <f t="shared" si="32"/>
        <v>9000</v>
      </c>
      <c r="M529">
        <f t="shared" si="33"/>
        <v>45</v>
      </c>
      <c r="N529">
        <f t="shared" si="34"/>
        <v>3000</v>
      </c>
      <c r="O529" s="5">
        <f t="shared" si="35"/>
        <v>5995</v>
      </c>
    </row>
    <row r="530" spans="1:15" x14ac:dyDescent="0.3">
      <c r="A530" t="s">
        <v>555</v>
      </c>
      <c r="B530" s="3">
        <v>46207</v>
      </c>
      <c r="C530" t="s">
        <v>443</v>
      </c>
      <c r="D530" t="s">
        <v>17</v>
      </c>
      <c r="E530">
        <v>20</v>
      </c>
      <c r="F530">
        <v>450</v>
      </c>
      <c r="G530">
        <v>0</v>
      </c>
      <c r="H530">
        <v>15</v>
      </c>
      <c r="I530" t="s">
        <v>444</v>
      </c>
      <c r="J530" t="s">
        <v>445</v>
      </c>
      <c r="K530">
        <v>150</v>
      </c>
      <c r="L530">
        <f t="shared" si="32"/>
        <v>9000</v>
      </c>
      <c r="M530">
        <f t="shared" si="33"/>
        <v>0</v>
      </c>
      <c r="N530">
        <f t="shared" si="34"/>
        <v>3000</v>
      </c>
      <c r="O530" s="5">
        <f t="shared" si="35"/>
        <v>5985</v>
      </c>
    </row>
    <row r="531" spans="1:15" x14ac:dyDescent="0.3">
      <c r="A531" t="s">
        <v>556</v>
      </c>
      <c r="B531" s="3">
        <v>46185</v>
      </c>
      <c r="C531" t="s">
        <v>443</v>
      </c>
      <c r="D531" t="s">
        <v>22</v>
      </c>
      <c r="E531">
        <v>12</v>
      </c>
      <c r="F531">
        <v>450</v>
      </c>
      <c r="G531">
        <v>0</v>
      </c>
      <c r="H531">
        <v>15</v>
      </c>
      <c r="I531" t="s">
        <v>444</v>
      </c>
      <c r="J531" t="s">
        <v>445</v>
      </c>
      <c r="K531">
        <v>150</v>
      </c>
      <c r="L531">
        <f t="shared" si="32"/>
        <v>5400</v>
      </c>
      <c r="M531">
        <f t="shared" si="33"/>
        <v>0</v>
      </c>
      <c r="N531">
        <f t="shared" si="34"/>
        <v>1800</v>
      </c>
      <c r="O531" s="5">
        <f t="shared" si="35"/>
        <v>3585</v>
      </c>
    </row>
    <row r="532" spans="1:15" x14ac:dyDescent="0.3">
      <c r="A532" t="s">
        <v>557</v>
      </c>
      <c r="B532" s="3">
        <v>46190</v>
      </c>
      <c r="C532" t="s">
        <v>443</v>
      </c>
      <c r="D532" t="s">
        <v>34</v>
      </c>
      <c r="E532">
        <v>21</v>
      </c>
      <c r="F532">
        <v>450</v>
      </c>
      <c r="G532">
        <v>0.35</v>
      </c>
      <c r="H532">
        <v>5</v>
      </c>
      <c r="I532" t="s">
        <v>444</v>
      </c>
      <c r="J532" t="s">
        <v>445</v>
      </c>
      <c r="K532">
        <v>150</v>
      </c>
      <c r="L532">
        <f t="shared" si="32"/>
        <v>9450</v>
      </c>
      <c r="M532">
        <f t="shared" si="33"/>
        <v>157.5</v>
      </c>
      <c r="N532">
        <f t="shared" si="34"/>
        <v>3150</v>
      </c>
      <c r="O532" s="5">
        <f t="shared" si="35"/>
        <v>6295</v>
      </c>
    </row>
    <row r="533" spans="1:15" x14ac:dyDescent="0.3">
      <c r="A533" t="s">
        <v>558</v>
      </c>
      <c r="B533" s="3">
        <v>46125</v>
      </c>
      <c r="C533" t="s">
        <v>443</v>
      </c>
      <c r="D533" t="s">
        <v>17</v>
      </c>
      <c r="E533">
        <v>7</v>
      </c>
      <c r="F533">
        <v>450</v>
      </c>
      <c r="G533">
        <v>0.2</v>
      </c>
      <c r="H533">
        <v>20</v>
      </c>
      <c r="I533" t="s">
        <v>444</v>
      </c>
      <c r="J533" t="s">
        <v>445</v>
      </c>
      <c r="K533">
        <v>150</v>
      </c>
      <c r="L533">
        <f t="shared" si="32"/>
        <v>3150</v>
      </c>
      <c r="M533">
        <f t="shared" si="33"/>
        <v>90</v>
      </c>
      <c r="N533">
        <f t="shared" si="34"/>
        <v>1050</v>
      </c>
      <c r="O533" s="5">
        <f t="shared" si="35"/>
        <v>2080</v>
      </c>
    </row>
    <row r="534" spans="1:15" x14ac:dyDescent="0.3">
      <c r="A534" t="s">
        <v>559</v>
      </c>
      <c r="B534" s="3">
        <v>46067</v>
      </c>
      <c r="C534" t="s">
        <v>443</v>
      </c>
      <c r="D534" t="s">
        <v>22</v>
      </c>
      <c r="E534">
        <v>3</v>
      </c>
      <c r="F534">
        <v>450</v>
      </c>
      <c r="G534">
        <v>0</v>
      </c>
      <c r="H534">
        <v>5</v>
      </c>
      <c r="I534" t="s">
        <v>444</v>
      </c>
      <c r="J534" t="s">
        <v>445</v>
      </c>
      <c r="K534">
        <v>150</v>
      </c>
      <c r="L534">
        <f t="shared" si="32"/>
        <v>1350</v>
      </c>
      <c r="M534">
        <f t="shared" si="33"/>
        <v>0</v>
      </c>
      <c r="N534">
        <f t="shared" si="34"/>
        <v>450</v>
      </c>
      <c r="O534" s="5">
        <f t="shared" si="35"/>
        <v>895</v>
      </c>
    </row>
    <row r="535" spans="1:15" x14ac:dyDescent="0.3">
      <c r="A535" t="s">
        <v>560</v>
      </c>
      <c r="B535" s="3">
        <v>46189</v>
      </c>
      <c r="C535" t="s">
        <v>443</v>
      </c>
      <c r="D535" t="s">
        <v>24</v>
      </c>
      <c r="E535">
        <v>3</v>
      </c>
      <c r="F535">
        <v>450</v>
      </c>
      <c r="G535">
        <v>0.1</v>
      </c>
      <c r="H535">
        <v>20</v>
      </c>
      <c r="I535" t="s">
        <v>444</v>
      </c>
      <c r="J535" t="s">
        <v>445</v>
      </c>
      <c r="K535">
        <v>150</v>
      </c>
      <c r="L535">
        <f t="shared" si="32"/>
        <v>1350</v>
      </c>
      <c r="M535">
        <f t="shared" si="33"/>
        <v>45</v>
      </c>
      <c r="N535">
        <f t="shared" si="34"/>
        <v>450</v>
      </c>
      <c r="O535" s="5">
        <f t="shared" si="35"/>
        <v>880</v>
      </c>
    </row>
    <row r="536" spans="1:15" x14ac:dyDescent="0.3">
      <c r="A536" t="s">
        <v>561</v>
      </c>
      <c r="B536" s="3">
        <v>46041</v>
      </c>
      <c r="C536" t="s">
        <v>443</v>
      </c>
      <c r="D536" t="s">
        <v>17</v>
      </c>
      <c r="E536">
        <v>20</v>
      </c>
      <c r="F536">
        <v>450</v>
      </c>
      <c r="G536">
        <v>0.35</v>
      </c>
      <c r="H536">
        <v>20</v>
      </c>
      <c r="I536" t="s">
        <v>444</v>
      </c>
      <c r="J536" t="s">
        <v>445</v>
      </c>
      <c r="K536">
        <v>150</v>
      </c>
      <c r="L536">
        <f t="shared" si="32"/>
        <v>9000</v>
      </c>
      <c r="M536">
        <f t="shared" si="33"/>
        <v>157.5</v>
      </c>
      <c r="N536">
        <f t="shared" si="34"/>
        <v>3000</v>
      </c>
      <c r="O536" s="5">
        <f t="shared" si="35"/>
        <v>5980</v>
      </c>
    </row>
    <row r="537" spans="1:15" x14ac:dyDescent="0.3">
      <c r="A537" t="s">
        <v>562</v>
      </c>
      <c r="B537" s="3">
        <v>46282</v>
      </c>
      <c r="C537" t="s">
        <v>443</v>
      </c>
      <c r="D537" t="s">
        <v>34</v>
      </c>
      <c r="E537">
        <v>2</v>
      </c>
      <c r="F537">
        <v>450</v>
      </c>
      <c r="G537">
        <v>0.35</v>
      </c>
      <c r="H537">
        <v>15</v>
      </c>
      <c r="I537" t="s">
        <v>444</v>
      </c>
      <c r="J537" t="s">
        <v>445</v>
      </c>
      <c r="K537">
        <v>150</v>
      </c>
      <c r="L537">
        <f t="shared" si="32"/>
        <v>900</v>
      </c>
      <c r="M537">
        <f t="shared" si="33"/>
        <v>157.5</v>
      </c>
      <c r="N537">
        <f t="shared" si="34"/>
        <v>300</v>
      </c>
      <c r="O537" s="5">
        <f t="shared" si="35"/>
        <v>585</v>
      </c>
    </row>
    <row r="538" spans="1:15" x14ac:dyDescent="0.3">
      <c r="A538" t="s">
        <v>563</v>
      </c>
      <c r="B538" s="3">
        <v>46203</v>
      </c>
      <c r="C538" t="s">
        <v>443</v>
      </c>
      <c r="D538" t="s">
        <v>24</v>
      </c>
      <c r="E538">
        <v>9</v>
      </c>
      <c r="F538">
        <v>450</v>
      </c>
      <c r="G538">
        <v>0.35</v>
      </c>
      <c r="H538">
        <v>10</v>
      </c>
      <c r="I538" t="s">
        <v>444</v>
      </c>
      <c r="J538" t="s">
        <v>445</v>
      </c>
      <c r="K538">
        <v>150</v>
      </c>
      <c r="L538">
        <f t="shared" si="32"/>
        <v>4050</v>
      </c>
      <c r="M538">
        <f t="shared" si="33"/>
        <v>157.5</v>
      </c>
      <c r="N538">
        <f t="shared" si="34"/>
        <v>1350</v>
      </c>
      <c r="O538" s="5">
        <f t="shared" si="35"/>
        <v>2690</v>
      </c>
    </row>
    <row r="539" spans="1:15" x14ac:dyDescent="0.3">
      <c r="A539" t="s">
        <v>564</v>
      </c>
      <c r="B539" s="3">
        <v>46183</v>
      </c>
      <c r="C539" t="s">
        <v>443</v>
      </c>
      <c r="D539" t="s">
        <v>34</v>
      </c>
      <c r="E539">
        <v>2</v>
      </c>
      <c r="F539">
        <v>450</v>
      </c>
      <c r="G539">
        <v>0.35</v>
      </c>
      <c r="H539">
        <v>20</v>
      </c>
      <c r="I539" t="s">
        <v>444</v>
      </c>
      <c r="J539" t="s">
        <v>445</v>
      </c>
      <c r="K539">
        <v>150</v>
      </c>
      <c r="L539">
        <f t="shared" si="32"/>
        <v>900</v>
      </c>
      <c r="M539">
        <f t="shared" si="33"/>
        <v>157.5</v>
      </c>
      <c r="N539">
        <f t="shared" si="34"/>
        <v>300</v>
      </c>
      <c r="O539" s="5">
        <f t="shared" si="35"/>
        <v>580</v>
      </c>
    </row>
    <row r="540" spans="1:15" x14ac:dyDescent="0.3">
      <c r="A540" t="s">
        <v>565</v>
      </c>
      <c r="B540" s="3">
        <v>46206</v>
      </c>
      <c r="C540" t="s">
        <v>443</v>
      </c>
      <c r="D540" t="s">
        <v>24</v>
      </c>
      <c r="E540">
        <v>21</v>
      </c>
      <c r="F540">
        <v>450</v>
      </c>
      <c r="G540">
        <v>0.2</v>
      </c>
      <c r="H540">
        <v>5</v>
      </c>
      <c r="I540" t="s">
        <v>444</v>
      </c>
      <c r="J540" t="s">
        <v>445</v>
      </c>
      <c r="K540">
        <v>150</v>
      </c>
      <c r="L540">
        <f t="shared" si="32"/>
        <v>9450</v>
      </c>
      <c r="M540">
        <f t="shared" si="33"/>
        <v>90</v>
      </c>
      <c r="N540">
        <f t="shared" si="34"/>
        <v>3150</v>
      </c>
      <c r="O540" s="5">
        <f t="shared" si="35"/>
        <v>6295</v>
      </c>
    </row>
    <row r="541" spans="1:15" x14ac:dyDescent="0.3">
      <c r="A541" t="s">
        <v>566</v>
      </c>
      <c r="B541" s="3">
        <v>46358</v>
      </c>
      <c r="C541" t="s">
        <v>443</v>
      </c>
      <c r="D541" t="s">
        <v>22</v>
      </c>
      <c r="E541">
        <v>1</v>
      </c>
      <c r="F541">
        <v>450</v>
      </c>
      <c r="G541">
        <v>0</v>
      </c>
      <c r="H541">
        <v>15</v>
      </c>
      <c r="I541" t="s">
        <v>444</v>
      </c>
      <c r="J541" t="s">
        <v>445</v>
      </c>
      <c r="K541">
        <v>150</v>
      </c>
      <c r="L541">
        <f t="shared" si="32"/>
        <v>450</v>
      </c>
      <c r="M541">
        <f t="shared" si="33"/>
        <v>0</v>
      </c>
      <c r="N541">
        <f t="shared" si="34"/>
        <v>150</v>
      </c>
      <c r="O541" s="5">
        <f t="shared" si="35"/>
        <v>285</v>
      </c>
    </row>
    <row r="542" spans="1:15" x14ac:dyDescent="0.3">
      <c r="A542" t="s">
        <v>567</v>
      </c>
      <c r="B542" s="3">
        <v>46200</v>
      </c>
      <c r="C542" t="s">
        <v>443</v>
      </c>
      <c r="D542" t="s">
        <v>17</v>
      </c>
      <c r="E542">
        <v>3</v>
      </c>
      <c r="F542">
        <v>450</v>
      </c>
      <c r="G542">
        <v>0.2</v>
      </c>
      <c r="H542">
        <v>5</v>
      </c>
      <c r="I542" t="s">
        <v>444</v>
      </c>
      <c r="J542" t="s">
        <v>445</v>
      </c>
      <c r="K542">
        <v>150</v>
      </c>
      <c r="L542">
        <f t="shared" si="32"/>
        <v>1350</v>
      </c>
      <c r="M542">
        <f t="shared" si="33"/>
        <v>90</v>
      </c>
      <c r="N542">
        <f t="shared" si="34"/>
        <v>450</v>
      </c>
      <c r="O542" s="5">
        <f t="shared" si="35"/>
        <v>895</v>
      </c>
    </row>
    <row r="543" spans="1:15" x14ac:dyDescent="0.3">
      <c r="A543" t="s">
        <v>568</v>
      </c>
      <c r="B543" s="3">
        <v>46182</v>
      </c>
      <c r="C543" t="s">
        <v>443</v>
      </c>
      <c r="D543" t="s">
        <v>34</v>
      </c>
      <c r="E543">
        <v>2</v>
      </c>
      <c r="F543">
        <v>450</v>
      </c>
      <c r="G543">
        <v>0</v>
      </c>
      <c r="H543">
        <v>20</v>
      </c>
      <c r="I543" t="s">
        <v>444</v>
      </c>
      <c r="J543" t="s">
        <v>445</v>
      </c>
      <c r="K543">
        <v>150</v>
      </c>
      <c r="L543">
        <f t="shared" si="32"/>
        <v>900</v>
      </c>
      <c r="M543">
        <f t="shared" si="33"/>
        <v>0</v>
      </c>
      <c r="N543">
        <f t="shared" si="34"/>
        <v>300</v>
      </c>
      <c r="O543" s="5">
        <f t="shared" si="35"/>
        <v>580</v>
      </c>
    </row>
    <row r="544" spans="1:15" x14ac:dyDescent="0.3">
      <c r="A544" t="s">
        <v>569</v>
      </c>
      <c r="B544" s="3">
        <v>46289</v>
      </c>
      <c r="C544" t="s">
        <v>443</v>
      </c>
      <c r="D544" t="s">
        <v>24</v>
      </c>
      <c r="E544">
        <v>19</v>
      </c>
      <c r="F544">
        <v>450</v>
      </c>
      <c r="G544">
        <v>0.35</v>
      </c>
      <c r="H544">
        <v>5</v>
      </c>
      <c r="I544" t="s">
        <v>444</v>
      </c>
      <c r="J544" t="s">
        <v>445</v>
      </c>
      <c r="K544">
        <v>150</v>
      </c>
      <c r="L544">
        <f t="shared" si="32"/>
        <v>8550</v>
      </c>
      <c r="M544">
        <f t="shared" si="33"/>
        <v>157.5</v>
      </c>
      <c r="N544">
        <f t="shared" si="34"/>
        <v>2850</v>
      </c>
      <c r="O544" s="5">
        <f t="shared" si="35"/>
        <v>5695</v>
      </c>
    </row>
    <row r="545" spans="1:15" x14ac:dyDescent="0.3">
      <c r="A545" t="s">
        <v>570</v>
      </c>
      <c r="B545" s="3">
        <v>46124</v>
      </c>
      <c r="C545" t="s">
        <v>443</v>
      </c>
      <c r="D545" t="s">
        <v>24</v>
      </c>
      <c r="E545">
        <v>4</v>
      </c>
      <c r="F545">
        <v>450</v>
      </c>
      <c r="G545">
        <v>0.2</v>
      </c>
      <c r="H545">
        <v>10</v>
      </c>
      <c r="I545" t="s">
        <v>444</v>
      </c>
      <c r="J545" t="s">
        <v>445</v>
      </c>
      <c r="K545">
        <v>150</v>
      </c>
      <c r="L545">
        <f t="shared" si="32"/>
        <v>1800</v>
      </c>
      <c r="M545">
        <f t="shared" si="33"/>
        <v>90</v>
      </c>
      <c r="N545">
        <f t="shared" si="34"/>
        <v>600</v>
      </c>
      <c r="O545" s="5">
        <f t="shared" si="35"/>
        <v>1190</v>
      </c>
    </row>
    <row r="546" spans="1:15" x14ac:dyDescent="0.3">
      <c r="A546" t="s">
        <v>571</v>
      </c>
      <c r="B546" s="3">
        <v>46059</v>
      </c>
      <c r="C546" t="s">
        <v>443</v>
      </c>
      <c r="D546" t="s">
        <v>24</v>
      </c>
      <c r="E546">
        <v>4</v>
      </c>
      <c r="F546">
        <v>450</v>
      </c>
      <c r="G546">
        <v>0.35</v>
      </c>
      <c r="H546">
        <v>5</v>
      </c>
      <c r="I546" t="s">
        <v>444</v>
      </c>
      <c r="J546" t="s">
        <v>445</v>
      </c>
      <c r="K546">
        <v>150</v>
      </c>
      <c r="L546">
        <f t="shared" si="32"/>
        <v>1800</v>
      </c>
      <c r="M546">
        <f t="shared" si="33"/>
        <v>157.5</v>
      </c>
      <c r="N546">
        <f t="shared" si="34"/>
        <v>600</v>
      </c>
      <c r="O546" s="5">
        <f t="shared" si="35"/>
        <v>1195</v>
      </c>
    </row>
    <row r="547" spans="1:15" x14ac:dyDescent="0.3">
      <c r="A547" t="s">
        <v>572</v>
      </c>
      <c r="B547" s="3">
        <v>46154</v>
      </c>
      <c r="C547" t="s">
        <v>443</v>
      </c>
      <c r="D547" t="s">
        <v>24</v>
      </c>
      <c r="E547">
        <v>3</v>
      </c>
      <c r="F547">
        <v>450</v>
      </c>
      <c r="G547">
        <v>0.35</v>
      </c>
      <c r="H547">
        <v>20</v>
      </c>
      <c r="I547" t="s">
        <v>444</v>
      </c>
      <c r="J547" t="s">
        <v>445</v>
      </c>
      <c r="K547">
        <v>150</v>
      </c>
      <c r="L547">
        <f t="shared" si="32"/>
        <v>1350</v>
      </c>
      <c r="M547">
        <f t="shared" si="33"/>
        <v>157.5</v>
      </c>
      <c r="N547">
        <f t="shared" si="34"/>
        <v>450</v>
      </c>
      <c r="O547" s="5">
        <f t="shared" si="35"/>
        <v>880</v>
      </c>
    </row>
    <row r="548" spans="1:15" x14ac:dyDescent="0.3">
      <c r="A548" t="s">
        <v>573</v>
      </c>
      <c r="B548" s="3">
        <v>46168</v>
      </c>
      <c r="C548" t="s">
        <v>443</v>
      </c>
      <c r="D548" t="s">
        <v>24</v>
      </c>
      <c r="E548">
        <v>16</v>
      </c>
      <c r="F548">
        <v>450</v>
      </c>
      <c r="G548">
        <v>0.35</v>
      </c>
      <c r="H548">
        <v>5</v>
      </c>
      <c r="I548" t="s">
        <v>444</v>
      </c>
      <c r="J548" t="s">
        <v>445</v>
      </c>
      <c r="K548">
        <v>150</v>
      </c>
      <c r="L548">
        <f t="shared" si="32"/>
        <v>7200</v>
      </c>
      <c r="M548">
        <f t="shared" si="33"/>
        <v>157.5</v>
      </c>
      <c r="N548">
        <f t="shared" si="34"/>
        <v>2400</v>
      </c>
      <c r="O548" s="5">
        <f t="shared" si="35"/>
        <v>4795</v>
      </c>
    </row>
    <row r="549" spans="1:15" x14ac:dyDescent="0.3">
      <c r="A549" t="s">
        <v>574</v>
      </c>
      <c r="B549" s="3">
        <v>46053</v>
      </c>
      <c r="C549" t="s">
        <v>443</v>
      </c>
      <c r="D549" t="s">
        <v>24</v>
      </c>
      <c r="E549">
        <v>8</v>
      </c>
      <c r="F549">
        <v>450</v>
      </c>
      <c r="G549">
        <v>0</v>
      </c>
      <c r="H549">
        <v>5</v>
      </c>
      <c r="I549" t="s">
        <v>444</v>
      </c>
      <c r="J549" t="s">
        <v>445</v>
      </c>
      <c r="K549">
        <v>150</v>
      </c>
      <c r="L549">
        <f t="shared" si="32"/>
        <v>3600</v>
      </c>
      <c r="M549">
        <f t="shared" si="33"/>
        <v>0</v>
      </c>
      <c r="N549">
        <f t="shared" si="34"/>
        <v>1200</v>
      </c>
      <c r="O549" s="5">
        <f t="shared" si="35"/>
        <v>2395</v>
      </c>
    </row>
    <row r="550" spans="1:15" x14ac:dyDescent="0.3">
      <c r="A550" t="s">
        <v>575</v>
      </c>
      <c r="B550" s="3">
        <v>46344</v>
      </c>
      <c r="C550" t="s">
        <v>443</v>
      </c>
      <c r="D550" t="s">
        <v>22</v>
      </c>
      <c r="E550">
        <v>19</v>
      </c>
      <c r="F550">
        <v>450</v>
      </c>
      <c r="G550">
        <v>0.35</v>
      </c>
      <c r="H550">
        <v>10</v>
      </c>
      <c r="I550" t="s">
        <v>444</v>
      </c>
      <c r="J550" t="s">
        <v>445</v>
      </c>
      <c r="K550">
        <v>150</v>
      </c>
      <c r="L550">
        <f t="shared" si="32"/>
        <v>8550</v>
      </c>
      <c r="M550">
        <f t="shared" si="33"/>
        <v>157.5</v>
      </c>
      <c r="N550">
        <f t="shared" si="34"/>
        <v>2850</v>
      </c>
      <c r="O550" s="5">
        <f t="shared" si="35"/>
        <v>5690</v>
      </c>
    </row>
    <row r="551" spans="1:15" x14ac:dyDescent="0.3">
      <c r="A551" t="s">
        <v>576</v>
      </c>
      <c r="B551" s="3">
        <v>46309</v>
      </c>
      <c r="C551" t="s">
        <v>443</v>
      </c>
      <c r="D551" t="s">
        <v>34</v>
      </c>
      <c r="E551">
        <v>11</v>
      </c>
      <c r="F551">
        <v>450</v>
      </c>
      <c r="G551">
        <v>0</v>
      </c>
      <c r="H551">
        <v>5</v>
      </c>
      <c r="I551" t="s">
        <v>444</v>
      </c>
      <c r="J551" t="s">
        <v>445</v>
      </c>
      <c r="K551">
        <v>150</v>
      </c>
      <c r="L551">
        <f t="shared" si="32"/>
        <v>4950</v>
      </c>
      <c r="M551">
        <f t="shared" si="33"/>
        <v>0</v>
      </c>
      <c r="N551">
        <f t="shared" si="34"/>
        <v>1650</v>
      </c>
      <c r="O551" s="5">
        <f t="shared" si="35"/>
        <v>3295</v>
      </c>
    </row>
    <row r="552" spans="1:15" x14ac:dyDescent="0.3">
      <c r="A552" t="s">
        <v>577</v>
      </c>
      <c r="B552" s="3">
        <v>46292</v>
      </c>
      <c r="C552" t="s">
        <v>443</v>
      </c>
      <c r="D552" t="s">
        <v>24</v>
      </c>
      <c r="E552">
        <v>9</v>
      </c>
      <c r="F552">
        <v>450</v>
      </c>
      <c r="G552">
        <v>0.1</v>
      </c>
      <c r="H552">
        <v>20</v>
      </c>
      <c r="I552" t="s">
        <v>444</v>
      </c>
      <c r="J552" t="s">
        <v>445</v>
      </c>
      <c r="K552">
        <v>150</v>
      </c>
      <c r="L552">
        <f t="shared" si="32"/>
        <v>4050</v>
      </c>
      <c r="M552">
        <f t="shared" si="33"/>
        <v>45</v>
      </c>
      <c r="N552">
        <f t="shared" si="34"/>
        <v>1350</v>
      </c>
      <c r="O552" s="5">
        <f t="shared" si="35"/>
        <v>2680</v>
      </c>
    </row>
    <row r="553" spans="1:15" x14ac:dyDescent="0.3">
      <c r="A553" t="s">
        <v>578</v>
      </c>
      <c r="B553" s="3">
        <v>46051</v>
      </c>
      <c r="C553" t="s">
        <v>443</v>
      </c>
      <c r="D553" t="s">
        <v>22</v>
      </c>
      <c r="E553">
        <v>23</v>
      </c>
      <c r="F553">
        <v>450</v>
      </c>
      <c r="G553">
        <v>0.2</v>
      </c>
      <c r="H553">
        <v>15</v>
      </c>
      <c r="I553" t="s">
        <v>444</v>
      </c>
      <c r="J553" t="s">
        <v>445</v>
      </c>
      <c r="K553">
        <v>150</v>
      </c>
      <c r="L553">
        <f t="shared" si="32"/>
        <v>10350</v>
      </c>
      <c r="M553">
        <f t="shared" si="33"/>
        <v>90</v>
      </c>
      <c r="N553">
        <f t="shared" si="34"/>
        <v>3450</v>
      </c>
      <c r="O553" s="5">
        <f t="shared" si="35"/>
        <v>6885</v>
      </c>
    </row>
    <row r="554" spans="1:15" x14ac:dyDescent="0.3">
      <c r="A554" t="s">
        <v>579</v>
      </c>
      <c r="B554" s="3">
        <v>46209</v>
      </c>
      <c r="C554" t="s">
        <v>443</v>
      </c>
      <c r="D554" t="s">
        <v>34</v>
      </c>
      <c r="E554">
        <v>16</v>
      </c>
      <c r="F554">
        <v>450</v>
      </c>
      <c r="G554">
        <v>0.2</v>
      </c>
      <c r="H554">
        <v>20</v>
      </c>
      <c r="I554" t="s">
        <v>444</v>
      </c>
      <c r="J554" t="s">
        <v>445</v>
      </c>
      <c r="K554">
        <v>150</v>
      </c>
      <c r="L554">
        <f t="shared" si="32"/>
        <v>7200</v>
      </c>
      <c r="M554">
        <f t="shared" si="33"/>
        <v>90</v>
      </c>
      <c r="N554">
        <f t="shared" si="34"/>
        <v>2400</v>
      </c>
      <c r="O554" s="5">
        <f t="shared" si="35"/>
        <v>4780</v>
      </c>
    </row>
    <row r="555" spans="1:15" x14ac:dyDescent="0.3">
      <c r="A555" t="s">
        <v>580</v>
      </c>
      <c r="B555" s="3">
        <v>46368</v>
      </c>
      <c r="C555" t="s">
        <v>443</v>
      </c>
      <c r="D555" t="s">
        <v>34</v>
      </c>
      <c r="E555">
        <v>18</v>
      </c>
      <c r="F555">
        <v>450</v>
      </c>
      <c r="G555">
        <v>0.2</v>
      </c>
      <c r="H555">
        <v>10</v>
      </c>
      <c r="I555" t="s">
        <v>444</v>
      </c>
      <c r="J555" t="s">
        <v>445</v>
      </c>
      <c r="K555">
        <v>150</v>
      </c>
      <c r="L555">
        <f t="shared" si="32"/>
        <v>8100</v>
      </c>
      <c r="M555">
        <f t="shared" si="33"/>
        <v>90</v>
      </c>
      <c r="N555">
        <f t="shared" si="34"/>
        <v>2700</v>
      </c>
      <c r="O555" s="5">
        <f t="shared" si="35"/>
        <v>5390</v>
      </c>
    </row>
    <row r="556" spans="1:15" x14ac:dyDescent="0.3">
      <c r="A556" t="s">
        <v>581</v>
      </c>
      <c r="B556" s="3">
        <v>46315</v>
      </c>
      <c r="C556" t="s">
        <v>443</v>
      </c>
      <c r="D556" t="s">
        <v>34</v>
      </c>
      <c r="E556">
        <v>2</v>
      </c>
      <c r="F556">
        <v>450</v>
      </c>
      <c r="G556">
        <v>0.35</v>
      </c>
      <c r="H556">
        <v>5</v>
      </c>
      <c r="I556" t="s">
        <v>444</v>
      </c>
      <c r="J556" t="s">
        <v>445</v>
      </c>
      <c r="K556">
        <v>150</v>
      </c>
      <c r="L556">
        <f t="shared" si="32"/>
        <v>900</v>
      </c>
      <c r="M556">
        <f t="shared" si="33"/>
        <v>157.5</v>
      </c>
      <c r="N556">
        <f t="shared" si="34"/>
        <v>300</v>
      </c>
      <c r="O556" s="5">
        <f t="shared" si="35"/>
        <v>595</v>
      </c>
    </row>
    <row r="557" spans="1:15" x14ac:dyDescent="0.3">
      <c r="A557" t="s">
        <v>582</v>
      </c>
      <c r="B557" s="3">
        <v>46037</v>
      </c>
      <c r="C557" t="s">
        <v>443</v>
      </c>
      <c r="D557" t="s">
        <v>17</v>
      </c>
      <c r="E557">
        <v>20</v>
      </c>
      <c r="F557">
        <v>450</v>
      </c>
      <c r="G557">
        <v>0.1</v>
      </c>
      <c r="H557">
        <v>10</v>
      </c>
      <c r="I557" t="s">
        <v>444</v>
      </c>
      <c r="J557" t="s">
        <v>445</v>
      </c>
      <c r="K557">
        <v>150</v>
      </c>
      <c r="L557">
        <f t="shared" si="32"/>
        <v>9000</v>
      </c>
      <c r="M557">
        <f t="shared" si="33"/>
        <v>45</v>
      </c>
      <c r="N557">
        <f t="shared" si="34"/>
        <v>3000</v>
      </c>
      <c r="O557" s="5">
        <f t="shared" si="35"/>
        <v>5990</v>
      </c>
    </row>
    <row r="558" spans="1:15" x14ac:dyDescent="0.3">
      <c r="A558" t="s">
        <v>583</v>
      </c>
      <c r="B558" s="3">
        <v>46063</v>
      </c>
      <c r="C558" t="s">
        <v>443</v>
      </c>
      <c r="D558" t="s">
        <v>34</v>
      </c>
      <c r="E558">
        <v>20</v>
      </c>
      <c r="F558">
        <v>450</v>
      </c>
      <c r="G558">
        <v>0</v>
      </c>
      <c r="H558">
        <v>20</v>
      </c>
      <c r="I558" t="s">
        <v>444</v>
      </c>
      <c r="J558" t="s">
        <v>445</v>
      </c>
      <c r="K558">
        <v>150</v>
      </c>
      <c r="L558">
        <f t="shared" si="32"/>
        <v>9000</v>
      </c>
      <c r="M558">
        <f t="shared" si="33"/>
        <v>0</v>
      </c>
      <c r="N558">
        <f t="shared" si="34"/>
        <v>3000</v>
      </c>
      <c r="O558" s="5">
        <f t="shared" si="35"/>
        <v>5980</v>
      </c>
    </row>
    <row r="559" spans="1:15" x14ac:dyDescent="0.3">
      <c r="A559" t="s">
        <v>584</v>
      </c>
      <c r="B559" s="3">
        <v>46138</v>
      </c>
      <c r="C559" t="s">
        <v>443</v>
      </c>
      <c r="D559" t="s">
        <v>34</v>
      </c>
      <c r="E559">
        <v>4</v>
      </c>
      <c r="F559">
        <v>450</v>
      </c>
      <c r="G559">
        <v>0.1</v>
      </c>
      <c r="H559">
        <v>20</v>
      </c>
      <c r="I559" t="s">
        <v>444</v>
      </c>
      <c r="J559" t="s">
        <v>445</v>
      </c>
      <c r="K559">
        <v>150</v>
      </c>
      <c r="L559">
        <f t="shared" si="32"/>
        <v>1800</v>
      </c>
      <c r="M559">
        <f t="shared" si="33"/>
        <v>45</v>
      </c>
      <c r="N559">
        <f t="shared" si="34"/>
        <v>600</v>
      </c>
      <c r="O559" s="5">
        <f t="shared" si="35"/>
        <v>1180</v>
      </c>
    </row>
    <row r="560" spans="1:15" x14ac:dyDescent="0.3">
      <c r="A560" t="s">
        <v>585</v>
      </c>
      <c r="B560" s="3">
        <v>46269</v>
      </c>
      <c r="C560" t="s">
        <v>443</v>
      </c>
      <c r="D560" t="s">
        <v>24</v>
      </c>
      <c r="E560">
        <v>23</v>
      </c>
      <c r="F560">
        <v>450</v>
      </c>
      <c r="G560">
        <v>0.1</v>
      </c>
      <c r="H560">
        <v>15</v>
      </c>
      <c r="I560" t="s">
        <v>444</v>
      </c>
      <c r="J560" t="s">
        <v>445</v>
      </c>
      <c r="K560">
        <v>150</v>
      </c>
      <c r="L560">
        <f t="shared" si="32"/>
        <v>10350</v>
      </c>
      <c r="M560">
        <f t="shared" si="33"/>
        <v>45</v>
      </c>
      <c r="N560">
        <f t="shared" si="34"/>
        <v>3450</v>
      </c>
      <c r="O560" s="5">
        <f t="shared" si="35"/>
        <v>6885</v>
      </c>
    </row>
    <row r="561" spans="1:15" x14ac:dyDescent="0.3">
      <c r="A561" t="s">
        <v>586</v>
      </c>
      <c r="B561" s="3">
        <v>46274</v>
      </c>
      <c r="C561" t="s">
        <v>443</v>
      </c>
      <c r="D561" t="s">
        <v>24</v>
      </c>
      <c r="E561">
        <v>11</v>
      </c>
      <c r="F561">
        <v>450</v>
      </c>
      <c r="G561">
        <v>0.2</v>
      </c>
      <c r="H561">
        <v>5</v>
      </c>
      <c r="I561" t="s">
        <v>444</v>
      </c>
      <c r="J561" t="s">
        <v>445</v>
      </c>
      <c r="K561">
        <v>150</v>
      </c>
      <c r="L561">
        <f t="shared" si="32"/>
        <v>4950</v>
      </c>
      <c r="M561">
        <f t="shared" si="33"/>
        <v>90</v>
      </c>
      <c r="N561">
        <f t="shared" si="34"/>
        <v>1650</v>
      </c>
      <c r="O561" s="5">
        <f t="shared" si="35"/>
        <v>3295</v>
      </c>
    </row>
    <row r="562" spans="1:15" x14ac:dyDescent="0.3">
      <c r="A562" t="s">
        <v>587</v>
      </c>
      <c r="B562" s="3">
        <v>46196</v>
      </c>
      <c r="C562" t="s">
        <v>443</v>
      </c>
      <c r="D562" t="s">
        <v>17</v>
      </c>
      <c r="E562">
        <v>7</v>
      </c>
      <c r="F562">
        <v>450</v>
      </c>
      <c r="G562">
        <v>0.2</v>
      </c>
      <c r="H562">
        <v>10</v>
      </c>
      <c r="I562" t="s">
        <v>444</v>
      </c>
      <c r="J562" t="s">
        <v>445</v>
      </c>
      <c r="K562">
        <v>150</v>
      </c>
      <c r="L562">
        <f t="shared" si="32"/>
        <v>3150</v>
      </c>
      <c r="M562">
        <f t="shared" si="33"/>
        <v>90</v>
      </c>
      <c r="N562">
        <f t="shared" si="34"/>
        <v>1050</v>
      </c>
      <c r="O562" s="5">
        <f t="shared" si="35"/>
        <v>2090</v>
      </c>
    </row>
    <row r="563" spans="1:15" x14ac:dyDescent="0.3">
      <c r="A563" t="s">
        <v>588</v>
      </c>
      <c r="B563" s="3">
        <v>46055</v>
      </c>
      <c r="C563" t="s">
        <v>443</v>
      </c>
      <c r="D563" t="s">
        <v>34</v>
      </c>
      <c r="E563">
        <v>10</v>
      </c>
      <c r="F563">
        <v>450</v>
      </c>
      <c r="G563">
        <v>0.2</v>
      </c>
      <c r="H563">
        <v>20</v>
      </c>
      <c r="I563" t="s">
        <v>444</v>
      </c>
      <c r="J563" t="s">
        <v>445</v>
      </c>
      <c r="K563">
        <v>150</v>
      </c>
      <c r="L563">
        <f t="shared" si="32"/>
        <v>4500</v>
      </c>
      <c r="M563">
        <f t="shared" si="33"/>
        <v>90</v>
      </c>
      <c r="N563">
        <f t="shared" si="34"/>
        <v>1500</v>
      </c>
      <c r="O563" s="5">
        <f t="shared" si="35"/>
        <v>2980</v>
      </c>
    </row>
    <row r="564" spans="1:15" x14ac:dyDescent="0.3">
      <c r="A564" t="s">
        <v>589</v>
      </c>
      <c r="B564" s="3">
        <v>46372</v>
      </c>
      <c r="C564" t="s">
        <v>443</v>
      </c>
      <c r="D564" t="s">
        <v>17</v>
      </c>
      <c r="E564">
        <v>17</v>
      </c>
      <c r="F564">
        <v>450</v>
      </c>
      <c r="G564">
        <v>0.2</v>
      </c>
      <c r="H564">
        <v>10</v>
      </c>
      <c r="I564" t="s">
        <v>444</v>
      </c>
      <c r="J564" t="s">
        <v>445</v>
      </c>
      <c r="K564">
        <v>150</v>
      </c>
      <c r="L564">
        <f t="shared" si="32"/>
        <v>7650</v>
      </c>
      <c r="M564">
        <f t="shared" si="33"/>
        <v>90</v>
      </c>
      <c r="N564">
        <f t="shared" si="34"/>
        <v>2550</v>
      </c>
      <c r="O564" s="5">
        <f t="shared" si="35"/>
        <v>5090</v>
      </c>
    </row>
    <row r="565" spans="1:15" x14ac:dyDescent="0.3">
      <c r="A565" t="s">
        <v>590</v>
      </c>
      <c r="B565" s="3">
        <v>46320</v>
      </c>
      <c r="C565" t="s">
        <v>443</v>
      </c>
      <c r="D565" t="s">
        <v>34</v>
      </c>
      <c r="E565">
        <v>16</v>
      </c>
      <c r="F565">
        <v>450</v>
      </c>
      <c r="G565">
        <v>0</v>
      </c>
      <c r="H565">
        <v>10</v>
      </c>
      <c r="I565" t="s">
        <v>444</v>
      </c>
      <c r="J565" t="s">
        <v>445</v>
      </c>
      <c r="K565">
        <v>150</v>
      </c>
      <c r="L565">
        <f t="shared" si="32"/>
        <v>7200</v>
      </c>
      <c r="M565">
        <f t="shared" si="33"/>
        <v>0</v>
      </c>
      <c r="N565">
        <f t="shared" si="34"/>
        <v>2400</v>
      </c>
      <c r="O565" s="5">
        <f t="shared" si="35"/>
        <v>4790</v>
      </c>
    </row>
    <row r="566" spans="1:15" x14ac:dyDescent="0.3">
      <c r="A566" t="s">
        <v>591</v>
      </c>
      <c r="B566" s="3">
        <v>46077</v>
      </c>
      <c r="C566" t="s">
        <v>443</v>
      </c>
      <c r="D566" t="s">
        <v>17</v>
      </c>
      <c r="E566">
        <v>9</v>
      </c>
      <c r="F566">
        <v>450</v>
      </c>
      <c r="G566">
        <v>0</v>
      </c>
      <c r="H566">
        <v>5</v>
      </c>
      <c r="I566" t="s">
        <v>444</v>
      </c>
      <c r="J566" t="s">
        <v>445</v>
      </c>
      <c r="K566">
        <v>150</v>
      </c>
      <c r="L566">
        <f t="shared" si="32"/>
        <v>4050</v>
      </c>
      <c r="M566">
        <f t="shared" si="33"/>
        <v>0</v>
      </c>
      <c r="N566">
        <f t="shared" si="34"/>
        <v>1350</v>
      </c>
      <c r="O566" s="5">
        <f t="shared" si="35"/>
        <v>2695</v>
      </c>
    </row>
    <row r="567" spans="1:15" x14ac:dyDescent="0.3">
      <c r="A567" t="s">
        <v>592</v>
      </c>
      <c r="B567" s="3">
        <v>46168</v>
      </c>
      <c r="C567" t="s">
        <v>443</v>
      </c>
      <c r="D567" t="s">
        <v>17</v>
      </c>
      <c r="E567">
        <v>21</v>
      </c>
      <c r="F567">
        <v>450</v>
      </c>
      <c r="G567">
        <v>0</v>
      </c>
      <c r="H567">
        <v>20</v>
      </c>
      <c r="I567" t="s">
        <v>444</v>
      </c>
      <c r="J567" t="s">
        <v>445</v>
      </c>
      <c r="K567">
        <v>150</v>
      </c>
      <c r="L567">
        <f t="shared" si="32"/>
        <v>9450</v>
      </c>
      <c r="M567">
        <f t="shared" si="33"/>
        <v>0</v>
      </c>
      <c r="N567">
        <f t="shared" si="34"/>
        <v>3150</v>
      </c>
      <c r="O567" s="5">
        <f t="shared" si="35"/>
        <v>6280</v>
      </c>
    </row>
    <row r="568" spans="1:15" x14ac:dyDescent="0.3">
      <c r="A568" t="s">
        <v>593</v>
      </c>
      <c r="B568" s="3">
        <v>46115</v>
      </c>
      <c r="C568" t="s">
        <v>443</v>
      </c>
      <c r="D568" t="s">
        <v>34</v>
      </c>
      <c r="E568">
        <v>7</v>
      </c>
      <c r="F568">
        <v>450</v>
      </c>
      <c r="G568">
        <v>0.1</v>
      </c>
      <c r="H568">
        <v>10</v>
      </c>
      <c r="I568" t="s">
        <v>444</v>
      </c>
      <c r="J568" t="s">
        <v>445</v>
      </c>
      <c r="K568">
        <v>150</v>
      </c>
      <c r="L568">
        <f t="shared" si="32"/>
        <v>3150</v>
      </c>
      <c r="M568">
        <f t="shared" si="33"/>
        <v>45</v>
      </c>
      <c r="N568">
        <f t="shared" si="34"/>
        <v>1050</v>
      </c>
      <c r="O568" s="5">
        <f t="shared" si="35"/>
        <v>2090</v>
      </c>
    </row>
    <row r="569" spans="1:15" x14ac:dyDescent="0.3">
      <c r="A569" t="s">
        <v>594</v>
      </c>
      <c r="B569" s="3">
        <v>46150</v>
      </c>
      <c r="C569" t="s">
        <v>443</v>
      </c>
      <c r="D569" t="s">
        <v>17</v>
      </c>
      <c r="E569">
        <v>25</v>
      </c>
      <c r="F569">
        <v>450</v>
      </c>
      <c r="G569">
        <v>0.2</v>
      </c>
      <c r="H569">
        <v>20</v>
      </c>
      <c r="I569" t="s">
        <v>444</v>
      </c>
      <c r="J569" t="s">
        <v>445</v>
      </c>
      <c r="K569">
        <v>150</v>
      </c>
      <c r="L569">
        <f t="shared" si="32"/>
        <v>11250</v>
      </c>
      <c r="M569">
        <f t="shared" si="33"/>
        <v>90</v>
      </c>
      <c r="N569">
        <f t="shared" si="34"/>
        <v>3750</v>
      </c>
      <c r="O569" s="5">
        <f t="shared" si="35"/>
        <v>7480</v>
      </c>
    </row>
    <row r="570" spans="1:15" x14ac:dyDescent="0.3">
      <c r="A570" t="s">
        <v>595</v>
      </c>
      <c r="B570" s="3">
        <v>46296</v>
      </c>
      <c r="C570" t="s">
        <v>443</v>
      </c>
      <c r="D570" t="s">
        <v>24</v>
      </c>
      <c r="E570">
        <v>4</v>
      </c>
      <c r="F570">
        <v>450</v>
      </c>
      <c r="G570">
        <v>0.2</v>
      </c>
      <c r="H570">
        <v>10</v>
      </c>
      <c r="I570" t="s">
        <v>444</v>
      </c>
      <c r="J570" t="s">
        <v>445</v>
      </c>
      <c r="K570">
        <v>150</v>
      </c>
      <c r="L570">
        <f t="shared" si="32"/>
        <v>1800</v>
      </c>
      <c r="M570">
        <f t="shared" si="33"/>
        <v>90</v>
      </c>
      <c r="N570">
        <f t="shared" si="34"/>
        <v>600</v>
      </c>
      <c r="O570" s="5">
        <f t="shared" si="35"/>
        <v>1190</v>
      </c>
    </row>
    <row r="571" spans="1:15" x14ac:dyDescent="0.3">
      <c r="A571" t="s">
        <v>596</v>
      </c>
      <c r="B571" s="3">
        <v>46361</v>
      </c>
      <c r="C571" t="s">
        <v>443</v>
      </c>
      <c r="D571" t="s">
        <v>17</v>
      </c>
      <c r="E571">
        <v>14</v>
      </c>
      <c r="F571">
        <v>450</v>
      </c>
      <c r="G571">
        <v>0.1</v>
      </c>
      <c r="H571">
        <v>5</v>
      </c>
      <c r="I571" t="s">
        <v>444</v>
      </c>
      <c r="J571" t="s">
        <v>445</v>
      </c>
      <c r="K571">
        <v>150</v>
      </c>
      <c r="L571">
        <f t="shared" si="32"/>
        <v>6300</v>
      </c>
      <c r="M571">
        <f t="shared" si="33"/>
        <v>45</v>
      </c>
      <c r="N571">
        <f t="shared" si="34"/>
        <v>2100</v>
      </c>
      <c r="O571" s="5">
        <f t="shared" si="35"/>
        <v>4195</v>
      </c>
    </row>
    <row r="572" spans="1:15" x14ac:dyDescent="0.3">
      <c r="A572" t="s">
        <v>597</v>
      </c>
      <c r="B572" s="3">
        <v>46303</v>
      </c>
      <c r="C572" t="s">
        <v>443</v>
      </c>
      <c r="D572" t="s">
        <v>22</v>
      </c>
      <c r="E572">
        <v>21</v>
      </c>
      <c r="F572">
        <v>450</v>
      </c>
      <c r="G572">
        <v>0.35</v>
      </c>
      <c r="H572">
        <v>5</v>
      </c>
      <c r="I572" t="s">
        <v>444</v>
      </c>
      <c r="J572" t="s">
        <v>445</v>
      </c>
      <c r="K572">
        <v>150</v>
      </c>
      <c r="L572">
        <f t="shared" si="32"/>
        <v>9450</v>
      </c>
      <c r="M572">
        <f t="shared" si="33"/>
        <v>157.5</v>
      </c>
      <c r="N572">
        <f t="shared" si="34"/>
        <v>3150</v>
      </c>
      <c r="O572" s="5">
        <f t="shared" si="35"/>
        <v>6295</v>
      </c>
    </row>
    <row r="573" spans="1:15" x14ac:dyDescent="0.3">
      <c r="A573" t="s">
        <v>598</v>
      </c>
      <c r="B573" s="3">
        <v>46366</v>
      </c>
      <c r="C573" t="s">
        <v>443</v>
      </c>
      <c r="D573" t="s">
        <v>22</v>
      </c>
      <c r="E573">
        <v>11</v>
      </c>
      <c r="F573">
        <v>450</v>
      </c>
      <c r="G573">
        <v>0</v>
      </c>
      <c r="H573">
        <v>10</v>
      </c>
      <c r="I573" t="s">
        <v>444</v>
      </c>
      <c r="J573" t="s">
        <v>445</v>
      </c>
      <c r="K573">
        <v>150</v>
      </c>
      <c r="L573">
        <f t="shared" si="32"/>
        <v>4950</v>
      </c>
      <c r="M573">
        <f t="shared" si="33"/>
        <v>0</v>
      </c>
      <c r="N573">
        <f t="shared" si="34"/>
        <v>1650</v>
      </c>
      <c r="O573" s="5">
        <f t="shared" si="35"/>
        <v>3290</v>
      </c>
    </row>
    <row r="574" spans="1:15" x14ac:dyDescent="0.3">
      <c r="A574" t="s">
        <v>599</v>
      </c>
      <c r="B574" s="3">
        <v>46130</v>
      </c>
      <c r="C574" t="s">
        <v>443</v>
      </c>
      <c r="D574" t="s">
        <v>17</v>
      </c>
      <c r="E574">
        <v>15</v>
      </c>
      <c r="F574">
        <v>450</v>
      </c>
      <c r="G574">
        <v>0.2</v>
      </c>
      <c r="H574">
        <v>15</v>
      </c>
      <c r="I574" t="s">
        <v>444</v>
      </c>
      <c r="J574" t="s">
        <v>445</v>
      </c>
      <c r="K574">
        <v>150</v>
      </c>
      <c r="L574">
        <f t="shared" si="32"/>
        <v>6750</v>
      </c>
      <c r="M574">
        <f t="shared" si="33"/>
        <v>90</v>
      </c>
      <c r="N574">
        <f t="shared" si="34"/>
        <v>2250</v>
      </c>
      <c r="O574" s="5">
        <f t="shared" si="35"/>
        <v>4485</v>
      </c>
    </row>
    <row r="575" spans="1:15" x14ac:dyDescent="0.3">
      <c r="A575" t="s">
        <v>600</v>
      </c>
      <c r="B575" s="3">
        <v>46069</v>
      </c>
      <c r="C575" t="s">
        <v>443</v>
      </c>
      <c r="D575" t="s">
        <v>24</v>
      </c>
      <c r="E575">
        <v>16</v>
      </c>
      <c r="F575">
        <v>450</v>
      </c>
      <c r="G575">
        <v>0.35</v>
      </c>
      <c r="H575">
        <v>15</v>
      </c>
      <c r="I575" t="s">
        <v>444</v>
      </c>
      <c r="J575" t="s">
        <v>445</v>
      </c>
      <c r="K575">
        <v>150</v>
      </c>
      <c r="L575">
        <f t="shared" si="32"/>
        <v>7200</v>
      </c>
      <c r="M575">
        <f t="shared" si="33"/>
        <v>157.5</v>
      </c>
      <c r="N575">
        <f t="shared" si="34"/>
        <v>2400</v>
      </c>
      <c r="O575" s="5">
        <f t="shared" si="35"/>
        <v>4785</v>
      </c>
    </row>
    <row r="576" spans="1:15" x14ac:dyDescent="0.3">
      <c r="A576" t="s">
        <v>601</v>
      </c>
      <c r="B576" s="3">
        <v>46295</v>
      </c>
      <c r="C576" t="s">
        <v>443</v>
      </c>
      <c r="D576" t="s">
        <v>17</v>
      </c>
      <c r="E576">
        <v>3</v>
      </c>
      <c r="F576">
        <v>450</v>
      </c>
      <c r="G576">
        <v>0</v>
      </c>
      <c r="H576">
        <v>15</v>
      </c>
      <c r="I576" t="s">
        <v>444</v>
      </c>
      <c r="J576" t="s">
        <v>445</v>
      </c>
      <c r="K576">
        <v>150</v>
      </c>
      <c r="L576">
        <f t="shared" si="32"/>
        <v>1350</v>
      </c>
      <c r="M576">
        <f t="shared" si="33"/>
        <v>0</v>
      </c>
      <c r="N576">
        <f t="shared" si="34"/>
        <v>450</v>
      </c>
      <c r="O576" s="5">
        <f t="shared" si="35"/>
        <v>885</v>
      </c>
    </row>
    <row r="577" spans="1:15" x14ac:dyDescent="0.3">
      <c r="A577" t="s">
        <v>602</v>
      </c>
      <c r="B577" s="3">
        <v>46376</v>
      </c>
      <c r="C577" t="s">
        <v>443</v>
      </c>
      <c r="D577" t="s">
        <v>22</v>
      </c>
      <c r="E577">
        <v>3</v>
      </c>
      <c r="F577">
        <v>450</v>
      </c>
      <c r="G577">
        <v>0</v>
      </c>
      <c r="H577">
        <v>5</v>
      </c>
      <c r="I577" t="s">
        <v>444</v>
      </c>
      <c r="J577" t="s">
        <v>445</v>
      </c>
      <c r="K577">
        <v>150</v>
      </c>
      <c r="L577">
        <f t="shared" si="32"/>
        <v>1350</v>
      </c>
      <c r="M577">
        <f t="shared" si="33"/>
        <v>0</v>
      </c>
      <c r="N577">
        <f t="shared" si="34"/>
        <v>450</v>
      </c>
      <c r="O577" s="5">
        <f t="shared" si="35"/>
        <v>895</v>
      </c>
    </row>
    <row r="578" spans="1:15" x14ac:dyDescent="0.3">
      <c r="A578" t="s">
        <v>603</v>
      </c>
      <c r="B578" s="3">
        <v>46045</v>
      </c>
      <c r="C578" t="s">
        <v>443</v>
      </c>
      <c r="D578" t="s">
        <v>34</v>
      </c>
      <c r="E578">
        <v>15</v>
      </c>
      <c r="F578">
        <v>450</v>
      </c>
      <c r="G578">
        <v>0.35</v>
      </c>
      <c r="H578">
        <v>15</v>
      </c>
      <c r="I578" t="s">
        <v>444</v>
      </c>
      <c r="J578" t="s">
        <v>445</v>
      </c>
      <c r="K578">
        <v>150</v>
      </c>
      <c r="L578">
        <f t="shared" ref="L578:L641" si="36">E578*F578</f>
        <v>6750</v>
      </c>
      <c r="M578">
        <f t="shared" ref="M578:M641" si="37">F578*G578</f>
        <v>157.5</v>
      </c>
      <c r="N578">
        <f t="shared" ref="N578:N641" si="38">E578*K578</f>
        <v>2250</v>
      </c>
      <c r="O578" s="5">
        <f t="shared" ref="O578:O641" si="39">L578-H578-N578</f>
        <v>4485</v>
      </c>
    </row>
    <row r="579" spans="1:15" x14ac:dyDescent="0.3">
      <c r="A579" t="s">
        <v>604</v>
      </c>
      <c r="B579" s="3">
        <v>46320</v>
      </c>
      <c r="C579" t="s">
        <v>443</v>
      </c>
      <c r="D579" t="s">
        <v>17</v>
      </c>
      <c r="E579">
        <v>9</v>
      </c>
      <c r="F579">
        <v>450</v>
      </c>
      <c r="G579">
        <v>0.2</v>
      </c>
      <c r="H579">
        <v>15</v>
      </c>
      <c r="I579" t="s">
        <v>444</v>
      </c>
      <c r="J579" t="s">
        <v>445</v>
      </c>
      <c r="K579">
        <v>150</v>
      </c>
      <c r="L579">
        <f t="shared" si="36"/>
        <v>4050</v>
      </c>
      <c r="M579">
        <f t="shared" si="37"/>
        <v>90</v>
      </c>
      <c r="N579">
        <f t="shared" si="38"/>
        <v>1350</v>
      </c>
      <c r="O579" s="5">
        <f t="shared" si="39"/>
        <v>2685</v>
      </c>
    </row>
    <row r="580" spans="1:15" x14ac:dyDescent="0.3">
      <c r="A580" t="s">
        <v>605</v>
      </c>
      <c r="B580" s="3">
        <v>46316</v>
      </c>
      <c r="C580" t="s">
        <v>443</v>
      </c>
      <c r="D580" t="s">
        <v>34</v>
      </c>
      <c r="E580">
        <v>7</v>
      </c>
      <c r="F580">
        <v>450</v>
      </c>
      <c r="G580">
        <v>0.35</v>
      </c>
      <c r="H580">
        <v>15</v>
      </c>
      <c r="I580" t="s">
        <v>444</v>
      </c>
      <c r="J580" t="s">
        <v>445</v>
      </c>
      <c r="K580">
        <v>150</v>
      </c>
      <c r="L580">
        <f t="shared" si="36"/>
        <v>3150</v>
      </c>
      <c r="M580">
        <f t="shared" si="37"/>
        <v>157.5</v>
      </c>
      <c r="N580">
        <f t="shared" si="38"/>
        <v>1050</v>
      </c>
      <c r="O580" s="5">
        <f t="shared" si="39"/>
        <v>2085</v>
      </c>
    </row>
    <row r="581" spans="1:15" x14ac:dyDescent="0.3">
      <c r="A581" t="s">
        <v>606</v>
      </c>
      <c r="B581" s="3">
        <v>46149</v>
      </c>
      <c r="C581" t="s">
        <v>443</v>
      </c>
      <c r="D581" t="s">
        <v>17</v>
      </c>
      <c r="E581">
        <v>15</v>
      </c>
      <c r="F581">
        <v>450</v>
      </c>
      <c r="G581">
        <v>0.2</v>
      </c>
      <c r="H581">
        <v>5</v>
      </c>
      <c r="I581" t="s">
        <v>444</v>
      </c>
      <c r="J581" t="s">
        <v>445</v>
      </c>
      <c r="K581">
        <v>150</v>
      </c>
      <c r="L581">
        <f t="shared" si="36"/>
        <v>6750</v>
      </c>
      <c r="M581">
        <f t="shared" si="37"/>
        <v>90</v>
      </c>
      <c r="N581">
        <f t="shared" si="38"/>
        <v>2250</v>
      </c>
      <c r="O581" s="5">
        <f t="shared" si="39"/>
        <v>4495</v>
      </c>
    </row>
    <row r="582" spans="1:15" x14ac:dyDescent="0.3">
      <c r="A582" t="s">
        <v>607</v>
      </c>
      <c r="B582" s="3">
        <v>46256</v>
      </c>
      <c r="C582" t="s">
        <v>443</v>
      </c>
      <c r="D582" t="s">
        <v>34</v>
      </c>
      <c r="E582">
        <v>16</v>
      </c>
      <c r="F582">
        <v>450</v>
      </c>
      <c r="G582">
        <v>0.1</v>
      </c>
      <c r="H582">
        <v>10</v>
      </c>
      <c r="I582" t="s">
        <v>444</v>
      </c>
      <c r="J582" t="s">
        <v>445</v>
      </c>
      <c r="K582">
        <v>150</v>
      </c>
      <c r="L582">
        <f t="shared" si="36"/>
        <v>7200</v>
      </c>
      <c r="M582">
        <f t="shared" si="37"/>
        <v>45</v>
      </c>
      <c r="N582">
        <f t="shared" si="38"/>
        <v>2400</v>
      </c>
      <c r="O582" s="5">
        <f t="shared" si="39"/>
        <v>4790</v>
      </c>
    </row>
    <row r="583" spans="1:15" x14ac:dyDescent="0.3">
      <c r="A583" t="s">
        <v>608</v>
      </c>
      <c r="B583" s="3">
        <v>46154</v>
      </c>
      <c r="C583" t="s">
        <v>443</v>
      </c>
      <c r="D583" t="s">
        <v>24</v>
      </c>
      <c r="E583">
        <v>15</v>
      </c>
      <c r="F583">
        <v>450</v>
      </c>
      <c r="G583">
        <v>0.1</v>
      </c>
      <c r="H583">
        <v>10</v>
      </c>
      <c r="I583" t="s">
        <v>444</v>
      </c>
      <c r="J583" t="s">
        <v>445</v>
      </c>
      <c r="K583">
        <v>150</v>
      </c>
      <c r="L583">
        <f t="shared" si="36"/>
        <v>6750</v>
      </c>
      <c r="M583">
        <f t="shared" si="37"/>
        <v>45</v>
      </c>
      <c r="N583">
        <f t="shared" si="38"/>
        <v>2250</v>
      </c>
      <c r="O583" s="5">
        <f t="shared" si="39"/>
        <v>4490</v>
      </c>
    </row>
    <row r="584" spans="1:15" x14ac:dyDescent="0.3">
      <c r="A584" t="s">
        <v>609</v>
      </c>
      <c r="B584" s="3">
        <v>46349</v>
      </c>
      <c r="C584" t="s">
        <v>443</v>
      </c>
      <c r="D584" t="s">
        <v>24</v>
      </c>
      <c r="E584">
        <v>4</v>
      </c>
      <c r="F584">
        <v>450</v>
      </c>
      <c r="G584">
        <v>0.2</v>
      </c>
      <c r="H584">
        <v>20</v>
      </c>
      <c r="I584" t="s">
        <v>444</v>
      </c>
      <c r="J584" t="s">
        <v>445</v>
      </c>
      <c r="K584">
        <v>150</v>
      </c>
      <c r="L584">
        <f t="shared" si="36"/>
        <v>1800</v>
      </c>
      <c r="M584">
        <f t="shared" si="37"/>
        <v>90</v>
      </c>
      <c r="N584">
        <f t="shared" si="38"/>
        <v>600</v>
      </c>
      <c r="O584" s="5">
        <f t="shared" si="39"/>
        <v>1180</v>
      </c>
    </row>
    <row r="585" spans="1:15" x14ac:dyDescent="0.3">
      <c r="A585" t="s">
        <v>610</v>
      </c>
      <c r="B585" s="3">
        <v>46187</v>
      </c>
      <c r="C585" t="s">
        <v>443</v>
      </c>
      <c r="D585" t="s">
        <v>22</v>
      </c>
      <c r="E585">
        <v>1</v>
      </c>
      <c r="F585">
        <v>450</v>
      </c>
      <c r="G585">
        <v>0</v>
      </c>
      <c r="H585">
        <v>15</v>
      </c>
      <c r="I585" t="s">
        <v>444</v>
      </c>
      <c r="J585" t="s">
        <v>445</v>
      </c>
      <c r="K585">
        <v>150</v>
      </c>
      <c r="L585">
        <f t="shared" si="36"/>
        <v>450</v>
      </c>
      <c r="M585">
        <f t="shared" si="37"/>
        <v>0</v>
      </c>
      <c r="N585">
        <f t="shared" si="38"/>
        <v>150</v>
      </c>
      <c r="O585" s="5">
        <f t="shared" si="39"/>
        <v>285</v>
      </c>
    </row>
    <row r="586" spans="1:15" x14ac:dyDescent="0.3">
      <c r="A586" t="s">
        <v>611</v>
      </c>
      <c r="B586" s="3">
        <v>46190</v>
      </c>
      <c r="C586" t="s">
        <v>443</v>
      </c>
      <c r="D586" t="s">
        <v>34</v>
      </c>
      <c r="E586">
        <v>3</v>
      </c>
      <c r="F586">
        <v>450</v>
      </c>
      <c r="G586">
        <v>0.1</v>
      </c>
      <c r="H586">
        <v>20</v>
      </c>
      <c r="I586" t="s">
        <v>444</v>
      </c>
      <c r="J586" t="s">
        <v>445</v>
      </c>
      <c r="K586">
        <v>150</v>
      </c>
      <c r="L586">
        <f t="shared" si="36"/>
        <v>1350</v>
      </c>
      <c r="M586">
        <f t="shared" si="37"/>
        <v>45</v>
      </c>
      <c r="N586">
        <f t="shared" si="38"/>
        <v>450</v>
      </c>
      <c r="O586" s="5">
        <f t="shared" si="39"/>
        <v>880</v>
      </c>
    </row>
    <row r="587" spans="1:15" x14ac:dyDescent="0.3">
      <c r="A587" t="s">
        <v>612</v>
      </c>
      <c r="B587" s="3">
        <v>46189</v>
      </c>
      <c r="C587" t="s">
        <v>443</v>
      </c>
      <c r="D587" t="s">
        <v>34</v>
      </c>
      <c r="E587">
        <v>22</v>
      </c>
      <c r="F587">
        <v>450</v>
      </c>
      <c r="G587">
        <v>0.35</v>
      </c>
      <c r="H587">
        <v>5</v>
      </c>
      <c r="I587" t="s">
        <v>444</v>
      </c>
      <c r="J587" t="s">
        <v>445</v>
      </c>
      <c r="K587">
        <v>150</v>
      </c>
      <c r="L587">
        <f t="shared" si="36"/>
        <v>9900</v>
      </c>
      <c r="M587">
        <f t="shared" si="37"/>
        <v>157.5</v>
      </c>
      <c r="N587">
        <f t="shared" si="38"/>
        <v>3300</v>
      </c>
      <c r="O587" s="5">
        <f t="shared" si="39"/>
        <v>6595</v>
      </c>
    </row>
    <row r="588" spans="1:15" x14ac:dyDescent="0.3">
      <c r="A588" t="s">
        <v>613</v>
      </c>
      <c r="B588" s="3">
        <v>46373</v>
      </c>
      <c r="C588" t="s">
        <v>443</v>
      </c>
      <c r="D588" t="s">
        <v>22</v>
      </c>
      <c r="E588">
        <v>4</v>
      </c>
      <c r="F588">
        <v>450</v>
      </c>
      <c r="G588">
        <v>0.35</v>
      </c>
      <c r="H588">
        <v>20</v>
      </c>
      <c r="I588" t="s">
        <v>444</v>
      </c>
      <c r="J588" t="s">
        <v>445</v>
      </c>
      <c r="K588">
        <v>150</v>
      </c>
      <c r="L588">
        <f t="shared" si="36"/>
        <v>1800</v>
      </c>
      <c r="M588">
        <f t="shared" si="37"/>
        <v>157.5</v>
      </c>
      <c r="N588">
        <f t="shared" si="38"/>
        <v>600</v>
      </c>
      <c r="O588" s="5">
        <f t="shared" si="39"/>
        <v>1180</v>
      </c>
    </row>
    <row r="589" spans="1:15" x14ac:dyDescent="0.3">
      <c r="A589" t="s">
        <v>614</v>
      </c>
      <c r="B589" s="3">
        <v>46288</v>
      </c>
      <c r="C589" t="s">
        <v>443</v>
      </c>
      <c r="D589" t="s">
        <v>34</v>
      </c>
      <c r="E589">
        <v>6</v>
      </c>
      <c r="F589">
        <v>450</v>
      </c>
      <c r="G589">
        <v>0.1</v>
      </c>
      <c r="H589">
        <v>15</v>
      </c>
      <c r="I589" t="s">
        <v>444</v>
      </c>
      <c r="J589" t="s">
        <v>445</v>
      </c>
      <c r="K589">
        <v>150</v>
      </c>
      <c r="L589">
        <f t="shared" si="36"/>
        <v>2700</v>
      </c>
      <c r="M589">
        <f t="shared" si="37"/>
        <v>45</v>
      </c>
      <c r="N589">
        <f t="shared" si="38"/>
        <v>900</v>
      </c>
      <c r="O589" s="5">
        <f t="shared" si="39"/>
        <v>1785</v>
      </c>
    </row>
    <row r="590" spans="1:15" x14ac:dyDescent="0.3">
      <c r="A590" t="s">
        <v>615</v>
      </c>
      <c r="B590" s="3">
        <v>46125</v>
      </c>
      <c r="C590" t="s">
        <v>443</v>
      </c>
      <c r="D590" t="s">
        <v>22</v>
      </c>
      <c r="E590">
        <v>9</v>
      </c>
      <c r="F590">
        <v>450</v>
      </c>
      <c r="G590">
        <v>0.1</v>
      </c>
      <c r="H590">
        <v>10</v>
      </c>
      <c r="I590" t="s">
        <v>444</v>
      </c>
      <c r="J590" t="s">
        <v>445</v>
      </c>
      <c r="K590">
        <v>150</v>
      </c>
      <c r="L590">
        <f t="shared" si="36"/>
        <v>4050</v>
      </c>
      <c r="M590">
        <f t="shared" si="37"/>
        <v>45</v>
      </c>
      <c r="N590">
        <f t="shared" si="38"/>
        <v>1350</v>
      </c>
      <c r="O590" s="5">
        <f t="shared" si="39"/>
        <v>2690</v>
      </c>
    </row>
    <row r="591" spans="1:15" x14ac:dyDescent="0.3">
      <c r="A591" t="s">
        <v>616</v>
      </c>
      <c r="B591" s="3">
        <v>46257</v>
      </c>
      <c r="C591" t="s">
        <v>443</v>
      </c>
      <c r="D591" t="s">
        <v>34</v>
      </c>
      <c r="E591">
        <v>5</v>
      </c>
      <c r="F591">
        <v>450</v>
      </c>
      <c r="G591">
        <v>0.2</v>
      </c>
      <c r="H591">
        <v>10</v>
      </c>
      <c r="I591" t="s">
        <v>444</v>
      </c>
      <c r="J591" t="s">
        <v>445</v>
      </c>
      <c r="K591">
        <v>150</v>
      </c>
      <c r="L591">
        <f t="shared" si="36"/>
        <v>2250</v>
      </c>
      <c r="M591">
        <f t="shared" si="37"/>
        <v>90</v>
      </c>
      <c r="N591">
        <f t="shared" si="38"/>
        <v>750</v>
      </c>
      <c r="O591" s="5">
        <f t="shared" si="39"/>
        <v>1490</v>
      </c>
    </row>
    <row r="592" spans="1:15" x14ac:dyDescent="0.3">
      <c r="A592" t="s">
        <v>617</v>
      </c>
      <c r="B592" s="3">
        <v>46359</v>
      </c>
      <c r="C592" t="s">
        <v>443</v>
      </c>
      <c r="D592" t="s">
        <v>17</v>
      </c>
      <c r="E592">
        <v>23</v>
      </c>
      <c r="F592">
        <v>450</v>
      </c>
      <c r="G592">
        <v>0.2</v>
      </c>
      <c r="H592">
        <v>10</v>
      </c>
      <c r="I592" t="s">
        <v>444</v>
      </c>
      <c r="J592" t="s">
        <v>445</v>
      </c>
      <c r="K592">
        <v>150</v>
      </c>
      <c r="L592">
        <f t="shared" si="36"/>
        <v>10350</v>
      </c>
      <c r="M592">
        <f t="shared" si="37"/>
        <v>90</v>
      </c>
      <c r="N592">
        <f t="shared" si="38"/>
        <v>3450</v>
      </c>
      <c r="O592" s="5">
        <f t="shared" si="39"/>
        <v>6890</v>
      </c>
    </row>
    <row r="593" spans="1:15" x14ac:dyDescent="0.3">
      <c r="A593" t="s">
        <v>618</v>
      </c>
      <c r="B593" s="3">
        <v>46230</v>
      </c>
      <c r="C593" t="s">
        <v>443</v>
      </c>
      <c r="D593" t="s">
        <v>34</v>
      </c>
      <c r="E593">
        <v>13</v>
      </c>
      <c r="F593">
        <v>450</v>
      </c>
      <c r="G593">
        <v>0.2</v>
      </c>
      <c r="H593">
        <v>20</v>
      </c>
      <c r="I593" t="s">
        <v>444</v>
      </c>
      <c r="J593" t="s">
        <v>445</v>
      </c>
      <c r="K593">
        <v>150</v>
      </c>
      <c r="L593">
        <f t="shared" si="36"/>
        <v>5850</v>
      </c>
      <c r="M593">
        <f t="shared" si="37"/>
        <v>90</v>
      </c>
      <c r="N593">
        <f t="shared" si="38"/>
        <v>1950</v>
      </c>
      <c r="O593" s="5">
        <f t="shared" si="39"/>
        <v>3880</v>
      </c>
    </row>
    <row r="594" spans="1:15" x14ac:dyDescent="0.3">
      <c r="A594" t="s">
        <v>619</v>
      </c>
      <c r="B594" s="3">
        <v>46214</v>
      </c>
      <c r="C594" t="s">
        <v>443</v>
      </c>
      <c r="D594" t="s">
        <v>34</v>
      </c>
      <c r="E594">
        <v>2</v>
      </c>
      <c r="F594">
        <v>450</v>
      </c>
      <c r="G594">
        <v>0.2</v>
      </c>
      <c r="H594">
        <v>20</v>
      </c>
      <c r="I594" t="s">
        <v>444</v>
      </c>
      <c r="J594" t="s">
        <v>445</v>
      </c>
      <c r="K594">
        <v>150</v>
      </c>
      <c r="L594">
        <f t="shared" si="36"/>
        <v>900</v>
      </c>
      <c r="M594">
        <f t="shared" si="37"/>
        <v>90</v>
      </c>
      <c r="N594">
        <f t="shared" si="38"/>
        <v>300</v>
      </c>
      <c r="O594" s="5">
        <f t="shared" si="39"/>
        <v>580</v>
      </c>
    </row>
    <row r="595" spans="1:15" x14ac:dyDescent="0.3">
      <c r="A595" t="s">
        <v>620</v>
      </c>
      <c r="B595" s="3">
        <v>46237</v>
      </c>
      <c r="C595" t="s">
        <v>443</v>
      </c>
      <c r="D595" t="s">
        <v>34</v>
      </c>
      <c r="E595">
        <v>2</v>
      </c>
      <c r="F595">
        <v>450</v>
      </c>
      <c r="G595">
        <v>0</v>
      </c>
      <c r="H595">
        <v>15</v>
      </c>
      <c r="I595" t="s">
        <v>444</v>
      </c>
      <c r="J595" t="s">
        <v>445</v>
      </c>
      <c r="K595">
        <v>150</v>
      </c>
      <c r="L595">
        <f t="shared" si="36"/>
        <v>900</v>
      </c>
      <c r="M595">
        <f t="shared" si="37"/>
        <v>0</v>
      </c>
      <c r="N595">
        <f t="shared" si="38"/>
        <v>300</v>
      </c>
      <c r="O595" s="5">
        <f t="shared" si="39"/>
        <v>585</v>
      </c>
    </row>
    <row r="596" spans="1:15" x14ac:dyDescent="0.3">
      <c r="A596" t="s">
        <v>621</v>
      </c>
      <c r="B596" s="3">
        <v>46244</v>
      </c>
      <c r="C596" t="s">
        <v>443</v>
      </c>
      <c r="D596" t="s">
        <v>22</v>
      </c>
      <c r="E596">
        <v>25</v>
      </c>
      <c r="F596">
        <v>450</v>
      </c>
      <c r="G596">
        <v>0.1</v>
      </c>
      <c r="H596">
        <v>5</v>
      </c>
      <c r="I596" t="s">
        <v>444</v>
      </c>
      <c r="J596" t="s">
        <v>445</v>
      </c>
      <c r="K596">
        <v>150</v>
      </c>
      <c r="L596">
        <f t="shared" si="36"/>
        <v>11250</v>
      </c>
      <c r="M596">
        <f t="shared" si="37"/>
        <v>45</v>
      </c>
      <c r="N596">
        <f t="shared" si="38"/>
        <v>3750</v>
      </c>
      <c r="O596" s="5">
        <f t="shared" si="39"/>
        <v>7495</v>
      </c>
    </row>
    <row r="597" spans="1:15" x14ac:dyDescent="0.3">
      <c r="A597" t="s">
        <v>622</v>
      </c>
      <c r="B597" s="3">
        <v>46278</v>
      </c>
      <c r="C597" t="s">
        <v>443</v>
      </c>
      <c r="D597" t="s">
        <v>24</v>
      </c>
      <c r="E597">
        <v>21</v>
      </c>
      <c r="F597">
        <v>450</v>
      </c>
      <c r="G597">
        <v>0.35</v>
      </c>
      <c r="H597">
        <v>5</v>
      </c>
      <c r="I597" t="s">
        <v>444</v>
      </c>
      <c r="J597" t="s">
        <v>445</v>
      </c>
      <c r="K597">
        <v>150</v>
      </c>
      <c r="L597">
        <f t="shared" si="36"/>
        <v>9450</v>
      </c>
      <c r="M597">
        <f t="shared" si="37"/>
        <v>157.5</v>
      </c>
      <c r="N597">
        <f t="shared" si="38"/>
        <v>3150</v>
      </c>
      <c r="O597" s="5">
        <f t="shared" si="39"/>
        <v>6295</v>
      </c>
    </row>
    <row r="598" spans="1:15" x14ac:dyDescent="0.3">
      <c r="A598" t="s">
        <v>623</v>
      </c>
      <c r="B598" s="3">
        <v>46089</v>
      </c>
      <c r="C598" t="s">
        <v>443</v>
      </c>
      <c r="D598" t="s">
        <v>22</v>
      </c>
      <c r="E598">
        <v>5</v>
      </c>
      <c r="F598">
        <v>450</v>
      </c>
      <c r="G598">
        <v>0.35</v>
      </c>
      <c r="H598">
        <v>5</v>
      </c>
      <c r="I598" t="s">
        <v>444</v>
      </c>
      <c r="J598" t="s">
        <v>445</v>
      </c>
      <c r="K598">
        <v>150</v>
      </c>
      <c r="L598">
        <f t="shared" si="36"/>
        <v>2250</v>
      </c>
      <c r="M598">
        <f t="shared" si="37"/>
        <v>157.5</v>
      </c>
      <c r="N598">
        <f t="shared" si="38"/>
        <v>750</v>
      </c>
      <c r="O598" s="5">
        <f t="shared" si="39"/>
        <v>1495</v>
      </c>
    </row>
    <row r="599" spans="1:15" x14ac:dyDescent="0.3">
      <c r="A599" t="s">
        <v>624</v>
      </c>
      <c r="B599" s="3">
        <v>46052</v>
      </c>
      <c r="C599" t="s">
        <v>443</v>
      </c>
      <c r="D599" t="s">
        <v>22</v>
      </c>
      <c r="E599">
        <v>5</v>
      </c>
      <c r="F599">
        <v>450</v>
      </c>
      <c r="G599">
        <v>0.2</v>
      </c>
      <c r="H599">
        <v>15</v>
      </c>
      <c r="I599" t="s">
        <v>444</v>
      </c>
      <c r="J599" t="s">
        <v>445</v>
      </c>
      <c r="K599">
        <v>150</v>
      </c>
      <c r="L599">
        <f t="shared" si="36"/>
        <v>2250</v>
      </c>
      <c r="M599">
        <f t="shared" si="37"/>
        <v>90</v>
      </c>
      <c r="N599">
        <f t="shared" si="38"/>
        <v>750</v>
      </c>
      <c r="O599" s="5">
        <f t="shared" si="39"/>
        <v>1485</v>
      </c>
    </row>
    <row r="600" spans="1:15" x14ac:dyDescent="0.3">
      <c r="A600" t="s">
        <v>625</v>
      </c>
      <c r="B600" s="3">
        <v>46317</v>
      </c>
      <c r="C600" t="s">
        <v>443</v>
      </c>
      <c r="D600" t="s">
        <v>17</v>
      </c>
      <c r="E600">
        <v>19</v>
      </c>
      <c r="F600">
        <v>450</v>
      </c>
      <c r="G600">
        <v>0.2</v>
      </c>
      <c r="H600">
        <v>10</v>
      </c>
      <c r="I600" t="s">
        <v>444</v>
      </c>
      <c r="J600" t="s">
        <v>445</v>
      </c>
      <c r="K600">
        <v>150</v>
      </c>
      <c r="L600">
        <f t="shared" si="36"/>
        <v>8550</v>
      </c>
      <c r="M600">
        <f t="shared" si="37"/>
        <v>90</v>
      </c>
      <c r="N600">
        <f t="shared" si="38"/>
        <v>2850</v>
      </c>
      <c r="O600" s="5">
        <f t="shared" si="39"/>
        <v>5690</v>
      </c>
    </row>
    <row r="601" spans="1:15" x14ac:dyDescent="0.3">
      <c r="A601" t="s">
        <v>626</v>
      </c>
      <c r="B601" s="3">
        <v>46154</v>
      </c>
      <c r="C601" t="s">
        <v>443</v>
      </c>
      <c r="D601" t="s">
        <v>17</v>
      </c>
      <c r="E601">
        <v>3</v>
      </c>
      <c r="F601">
        <v>450</v>
      </c>
      <c r="G601">
        <v>0.2</v>
      </c>
      <c r="H601">
        <v>10</v>
      </c>
      <c r="I601" t="s">
        <v>444</v>
      </c>
      <c r="J601" t="s">
        <v>445</v>
      </c>
      <c r="K601">
        <v>150</v>
      </c>
      <c r="L601">
        <f t="shared" si="36"/>
        <v>1350</v>
      </c>
      <c r="M601">
        <f t="shared" si="37"/>
        <v>90</v>
      </c>
      <c r="N601">
        <f t="shared" si="38"/>
        <v>450</v>
      </c>
      <c r="O601" s="5">
        <f t="shared" si="39"/>
        <v>890</v>
      </c>
    </row>
    <row r="602" spans="1:15" x14ac:dyDescent="0.3">
      <c r="A602" t="s">
        <v>627</v>
      </c>
      <c r="B602" s="3">
        <v>46288</v>
      </c>
      <c r="C602" t="s">
        <v>443</v>
      </c>
      <c r="D602" t="s">
        <v>22</v>
      </c>
      <c r="E602">
        <v>25</v>
      </c>
      <c r="F602">
        <v>450</v>
      </c>
      <c r="G602">
        <v>0.35</v>
      </c>
      <c r="H602">
        <v>10</v>
      </c>
      <c r="I602" t="s">
        <v>444</v>
      </c>
      <c r="J602" t="s">
        <v>445</v>
      </c>
      <c r="K602">
        <v>150</v>
      </c>
      <c r="L602">
        <f t="shared" si="36"/>
        <v>11250</v>
      </c>
      <c r="M602">
        <f t="shared" si="37"/>
        <v>157.5</v>
      </c>
      <c r="N602">
        <f t="shared" si="38"/>
        <v>3750</v>
      </c>
      <c r="O602" s="5">
        <f t="shared" si="39"/>
        <v>7490</v>
      </c>
    </row>
    <row r="603" spans="1:15" x14ac:dyDescent="0.3">
      <c r="A603" t="s">
        <v>628</v>
      </c>
      <c r="B603" s="3">
        <v>46247</v>
      </c>
      <c r="C603" t="s">
        <v>443</v>
      </c>
      <c r="D603" t="s">
        <v>22</v>
      </c>
      <c r="E603">
        <v>6</v>
      </c>
      <c r="F603">
        <v>450</v>
      </c>
      <c r="G603">
        <v>0</v>
      </c>
      <c r="H603">
        <v>5</v>
      </c>
      <c r="I603" t="s">
        <v>444</v>
      </c>
      <c r="J603" t="s">
        <v>445</v>
      </c>
      <c r="K603">
        <v>150</v>
      </c>
      <c r="L603">
        <f t="shared" si="36"/>
        <v>2700</v>
      </c>
      <c r="M603">
        <f t="shared" si="37"/>
        <v>0</v>
      </c>
      <c r="N603">
        <f t="shared" si="38"/>
        <v>900</v>
      </c>
      <c r="O603" s="5">
        <f t="shared" si="39"/>
        <v>1795</v>
      </c>
    </row>
    <row r="604" spans="1:15" x14ac:dyDescent="0.3">
      <c r="A604" t="s">
        <v>629</v>
      </c>
      <c r="B604" s="3">
        <v>46070</v>
      </c>
      <c r="C604" t="s">
        <v>443</v>
      </c>
      <c r="D604" t="s">
        <v>34</v>
      </c>
      <c r="E604">
        <v>6</v>
      </c>
      <c r="F604">
        <v>450</v>
      </c>
      <c r="G604">
        <v>0</v>
      </c>
      <c r="H604">
        <v>15</v>
      </c>
      <c r="I604" t="s">
        <v>444</v>
      </c>
      <c r="J604" t="s">
        <v>445</v>
      </c>
      <c r="K604">
        <v>150</v>
      </c>
      <c r="L604">
        <f t="shared" si="36"/>
        <v>2700</v>
      </c>
      <c r="M604">
        <f t="shared" si="37"/>
        <v>0</v>
      </c>
      <c r="N604">
        <f t="shared" si="38"/>
        <v>900</v>
      </c>
      <c r="O604" s="5">
        <f t="shared" si="39"/>
        <v>1785</v>
      </c>
    </row>
    <row r="605" spans="1:15" x14ac:dyDescent="0.3">
      <c r="A605" t="s">
        <v>630</v>
      </c>
      <c r="B605" s="3">
        <v>46267</v>
      </c>
      <c r="C605" t="s">
        <v>443</v>
      </c>
      <c r="D605" t="s">
        <v>24</v>
      </c>
      <c r="E605">
        <v>17</v>
      </c>
      <c r="F605">
        <v>450</v>
      </c>
      <c r="G605">
        <v>0.35</v>
      </c>
      <c r="H605">
        <v>5</v>
      </c>
      <c r="I605" t="s">
        <v>444</v>
      </c>
      <c r="J605" t="s">
        <v>445</v>
      </c>
      <c r="K605">
        <v>150</v>
      </c>
      <c r="L605">
        <f t="shared" si="36"/>
        <v>7650</v>
      </c>
      <c r="M605">
        <f t="shared" si="37"/>
        <v>157.5</v>
      </c>
      <c r="N605">
        <f t="shared" si="38"/>
        <v>2550</v>
      </c>
      <c r="O605" s="5">
        <f t="shared" si="39"/>
        <v>5095</v>
      </c>
    </row>
    <row r="606" spans="1:15" x14ac:dyDescent="0.3">
      <c r="A606" t="s">
        <v>631</v>
      </c>
      <c r="B606" s="3">
        <v>46371</v>
      </c>
      <c r="C606" t="s">
        <v>443</v>
      </c>
      <c r="D606" t="s">
        <v>24</v>
      </c>
      <c r="E606">
        <v>13</v>
      </c>
      <c r="F606">
        <v>450</v>
      </c>
      <c r="G606">
        <v>0.2</v>
      </c>
      <c r="H606">
        <v>10</v>
      </c>
      <c r="I606" t="s">
        <v>444</v>
      </c>
      <c r="J606" t="s">
        <v>445</v>
      </c>
      <c r="K606">
        <v>150</v>
      </c>
      <c r="L606">
        <f t="shared" si="36"/>
        <v>5850</v>
      </c>
      <c r="M606">
        <f t="shared" si="37"/>
        <v>90</v>
      </c>
      <c r="N606">
        <f t="shared" si="38"/>
        <v>1950</v>
      </c>
      <c r="O606" s="5">
        <f t="shared" si="39"/>
        <v>3890</v>
      </c>
    </row>
    <row r="607" spans="1:15" x14ac:dyDescent="0.3">
      <c r="A607" t="s">
        <v>632</v>
      </c>
      <c r="B607" s="3">
        <v>46050</v>
      </c>
      <c r="C607" t="s">
        <v>443</v>
      </c>
      <c r="D607" t="s">
        <v>22</v>
      </c>
      <c r="E607">
        <v>16</v>
      </c>
      <c r="F607">
        <v>450</v>
      </c>
      <c r="G607">
        <v>0</v>
      </c>
      <c r="H607">
        <v>5</v>
      </c>
      <c r="I607" t="s">
        <v>444</v>
      </c>
      <c r="J607" t="s">
        <v>445</v>
      </c>
      <c r="K607">
        <v>150</v>
      </c>
      <c r="L607">
        <f t="shared" si="36"/>
        <v>7200</v>
      </c>
      <c r="M607">
        <f t="shared" si="37"/>
        <v>0</v>
      </c>
      <c r="N607">
        <f t="shared" si="38"/>
        <v>2400</v>
      </c>
      <c r="O607" s="5">
        <f t="shared" si="39"/>
        <v>4795</v>
      </c>
    </row>
    <row r="608" spans="1:15" x14ac:dyDescent="0.3">
      <c r="A608" t="s">
        <v>633</v>
      </c>
      <c r="B608" s="3">
        <v>46068</v>
      </c>
      <c r="C608" t="s">
        <v>443</v>
      </c>
      <c r="D608" t="s">
        <v>34</v>
      </c>
      <c r="E608">
        <v>6</v>
      </c>
      <c r="F608">
        <v>450</v>
      </c>
      <c r="G608">
        <v>0</v>
      </c>
      <c r="H608">
        <v>15</v>
      </c>
      <c r="I608" t="s">
        <v>444</v>
      </c>
      <c r="J608" t="s">
        <v>445</v>
      </c>
      <c r="K608">
        <v>150</v>
      </c>
      <c r="L608">
        <f t="shared" si="36"/>
        <v>2700</v>
      </c>
      <c r="M608">
        <f t="shared" si="37"/>
        <v>0</v>
      </c>
      <c r="N608">
        <f t="shared" si="38"/>
        <v>900</v>
      </c>
      <c r="O608" s="5">
        <f t="shared" si="39"/>
        <v>1785</v>
      </c>
    </row>
    <row r="609" spans="1:15" x14ac:dyDescent="0.3">
      <c r="A609" t="s">
        <v>634</v>
      </c>
      <c r="B609" s="3">
        <v>46191</v>
      </c>
      <c r="C609" t="s">
        <v>443</v>
      </c>
      <c r="D609" t="s">
        <v>24</v>
      </c>
      <c r="E609">
        <v>2</v>
      </c>
      <c r="F609">
        <v>450</v>
      </c>
      <c r="G609">
        <v>0.2</v>
      </c>
      <c r="H609">
        <v>10</v>
      </c>
      <c r="I609" t="s">
        <v>444</v>
      </c>
      <c r="J609" t="s">
        <v>445</v>
      </c>
      <c r="K609">
        <v>150</v>
      </c>
      <c r="L609">
        <f t="shared" si="36"/>
        <v>900</v>
      </c>
      <c r="M609">
        <f t="shared" si="37"/>
        <v>90</v>
      </c>
      <c r="N609">
        <f t="shared" si="38"/>
        <v>300</v>
      </c>
      <c r="O609" s="5">
        <f t="shared" si="39"/>
        <v>590</v>
      </c>
    </row>
    <row r="610" spans="1:15" x14ac:dyDescent="0.3">
      <c r="A610" t="s">
        <v>635</v>
      </c>
      <c r="B610" s="3">
        <v>46296</v>
      </c>
      <c r="C610" t="s">
        <v>443</v>
      </c>
      <c r="D610" t="s">
        <v>24</v>
      </c>
      <c r="E610">
        <v>1</v>
      </c>
      <c r="F610">
        <v>450</v>
      </c>
      <c r="G610">
        <v>0.35</v>
      </c>
      <c r="H610">
        <v>5</v>
      </c>
      <c r="I610" t="s">
        <v>444</v>
      </c>
      <c r="J610" t="s">
        <v>445</v>
      </c>
      <c r="K610">
        <v>150</v>
      </c>
      <c r="L610">
        <f t="shared" si="36"/>
        <v>450</v>
      </c>
      <c r="M610">
        <f t="shared" si="37"/>
        <v>157.5</v>
      </c>
      <c r="N610">
        <f t="shared" si="38"/>
        <v>150</v>
      </c>
      <c r="O610" s="5">
        <f t="shared" si="39"/>
        <v>295</v>
      </c>
    </row>
    <row r="611" spans="1:15" x14ac:dyDescent="0.3">
      <c r="A611" t="s">
        <v>636</v>
      </c>
      <c r="B611" s="3">
        <v>46319</v>
      </c>
      <c r="C611" t="s">
        <v>443</v>
      </c>
      <c r="D611" t="s">
        <v>22</v>
      </c>
      <c r="E611">
        <v>6</v>
      </c>
      <c r="F611">
        <v>450</v>
      </c>
      <c r="G611">
        <v>0.1</v>
      </c>
      <c r="H611">
        <v>5</v>
      </c>
      <c r="I611" t="s">
        <v>444</v>
      </c>
      <c r="J611" t="s">
        <v>445</v>
      </c>
      <c r="K611">
        <v>150</v>
      </c>
      <c r="L611">
        <f t="shared" si="36"/>
        <v>2700</v>
      </c>
      <c r="M611">
        <f t="shared" si="37"/>
        <v>45</v>
      </c>
      <c r="N611">
        <f t="shared" si="38"/>
        <v>900</v>
      </c>
      <c r="O611" s="5">
        <f t="shared" si="39"/>
        <v>1795</v>
      </c>
    </row>
    <row r="612" spans="1:15" x14ac:dyDescent="0.3">
      <c r="A612" t="s">
        <v>637</v>
      </c>
      <c r="B612" s="3">
        <v>46165</v>
      </c>
      <c r="C612" t="s">
        <v>443</v>
      </c>
      <c r="D612" t="s">
        <v>22</v>
      </c>
      <c r="E612">
        <v>22</v>
      </c>
      <c r="F612">
        <v>450</v>
      </c>
      <c r="G612">
        <v>0.1</v>
      </c>
      <c r="H612">
        <v>10</v>
      </c>
      <c r="I612" t="s">
        <v>444</v>
      </c>
      <c r="J612" t="s">
        <v>445</v>
      </c>
      <c r="K612">
        <v>150</v>
      </c>
      <c r="L612">
        <f t="shared" si="36"/>
        <v>9900</v>
      </c>
      <c r="M612">
        <f t="shared" si="37"/>
        <v>45</v>
      </c>
      <c r="N612">
        <f t="shared" si="38"/>
        <v>3300</v>
      </c>
      <c r="O612" s="5">
        <f t="shared" si="39"/>
        <v>6590</v>
      </c>
    </row>
    <row r="613" spans="1:15" x14ac:dyDescent="0.3">
      <c r="A613" t="s">
        <v>638</v>
      </c>
      <c r="B613" s="3">
        <v>46064</v>
      </c>
      <c r="C613" t="s">
        <v>443</v>
      </c>
      <c r="D613" t="s">
        <v>24</v>
      </c>
      <c r="E613">
        <v>11</v>
      </c>
      <c r="F613">
        <v>450</v>
      </c>
      <c r="G613">
        <v>0.1</v>
      </c>
      <c r="H613">
        <v>20</v>
      </c>
      <c r="I613" t="s">
        <v>444</v>
      </c>
      <c r="J613" t="s">
        <v>445</v>
      </c>
      <c r="K613">
        <v>150</v>
      </c>
      <c r="L613">
        <f t="shared" si="36"/>
        <v>4950</v>
      </c>
      <c r="M613">
        <f t="shared" si="37"/>
        <v>45</v>
      </c>
      <c r="N613">
        <f t="shared" si="38"/>
        <v>1650</v>
      </c>
      <c r="O613" s="5">
        <f t="shared" si="39"/>
        <v>3280</v>
      </c>
    </row>
    <row r="614" spans="1:15" x14ac:dyDescent="0.3">
      <c r="A614" t="s">
        <v>639</v>
      </c>
      <c r="B614" s="3">
        <v>46048</v>
      </c>
      <c r="C614" t="s">
        <v>443</v>
      </c>
      <c r="D614" t="s">
        <v>24</v>
      </c>
      <c r="E614">
        <v>19</v>
      </c>
      <c r="F614">
        <v>450</v>
      </c>
      <c r="G614">
        <v>0.2</v>
      </c>
      <c r="H614">
        <v>15</v>
      </c>
      <c r="I614" t="s">
        <v>444</v>
      </c>
      <c r="J614" t="s">
        <v>445</v>
      </c>
      <c r="K614">
        <v>150</v>
      </c>
      <c r="L614">
        <f t="shared" si="36"/>
        <v>8550</v>
      </c>
      <c r="M614">
        <f t="shared" si="37"/>
        <v>90</v>
      </c>
      <c r="N614">
        <f t="shared" si="38"/>
        <v>2850</v>
      </c>
      <c r="O614" s="5">
        <f t="shared" si="39"/>
        <v>5685</v>
      </c>
    </row>
    <row r="615" spans="1:15" x14ac:dyDescent="0.3">
      <c r="A615" t="s">
        <v>640</v>
      </c>
      <c r="B615" s="3">
        <v>46342</v>
      </c>
      <c r="C615" t="s">
        <v>443</v>
      </c>
      <c r="D615" t="s">
        <v>24</v>
      </c>
      <c r="E615">
        <v>8</v>
      </c>
      <c r="F615">
        <v>450</v>
      </c>
      <c r="G615">
        <v>0.2</v>
      </c>
      <c r="H615">
        <v>5</v>
      </c>
      <c r="I615" t="s">
        <v>444</v>
      </c>
      <c r="J615" t="s">
        <v>445</v>
      </c>
      <c r="K615">
        <v>150</v>
      </c>
      <c r="L615">
        <f t="shared" si="36"/>
        <v>3600</v>
      </c>
      <c r="M615">
        <f t="shared" si="37"/>
        <v>90</v>
      </c>
      <c r="N615">
        <f t="shared" si="38"/>
        <v>1200</v>
      </c>
      <c r="O615" s="5">
        <f t="shared" si="39"/>
        <v>2395</v>
      </c>
    </row>
    <row r="616" spans="1:15" x14ac:dyDescent="0.3">
      <c r="A616" t="s">
        <v>641</v>
      </c>
      <c r="B616" s="3">
        <v>46208</v>
      </c>
      <c r="C616" t="s">
        <v>443</v>
      </c>
      <c r="D616" t="s">
        <v>24</v>
      </c>
      <c r="E616">
        <v>4</v>
      </c>
      <c r="F616">
        <v>450</v>
      </c>
      <c r="G616">
        <v>0</v>
      </c>
      <c r="H616">
        <v>5</v>
      </c>
      <c r="I616" t="s">
        <v>444</v>
      </c>
      <c r="J616" t="s">
        <v>445</v>
      </c>
      <c r="K616">
        <v>150</v>
      </c>
      <c r="L616">
        <f t="shared" si="36"/>
        <v>1800</v>
      </c>
      <c r="M616">
        <f t="shared" si="37"/>
        <v>0</v>
      </c>
      <c r="N616">
        <f t="shared" si="38"/>
        <v>600</v>
      </c>
      <c r="O616" s="5">
        <f t="shared" si="39"/>
        <v>1195</v>
      </c>
    </row>
    <row r="617" spans="1:15" x14ac:dyDescent="0.3">
      <c r="A617" t="s">
        <v>642</v>
      </c>
      <c r="B617" s="3">
        <v>46158</v>
      </c>
      <c r="C617" t="s">
        <v>443</v>
      </c>
      <c r="D617" t="s">
        <v>17</v>
      </c>
      <c r="E617">
        <v>24</v>
      </c>
      <c r="F617">
        <v>450</v>
      </c>
      <c r="G617">
        <v>0.35</v>
      </c>
      <c r="H617">
        <v>20</v>
      </c>
      <c r="I617" t="s">
        <v>444</v>
      </c>
      <c r="J617" t="s">
        <v>445</v>
      </c>
      <c r="K617">
        <v>150</v>
      </c>
      <c r="L617">
        <f t="shared" si="36"/>
        <v>10800</v>
      </c>
      <c r="M617">
        <f t="shared" si="37"/>
        <v>157.5</v>
      </c>
      <c r="N617">
        <f t="shared" si="38"/>
        <v>3600</v>
      </c>
      <c r="O617" s="5">
        <f t="shared" si="39"/>
        <v>7180</v>
      </c>
    </row>
    <row r="618" spans="1:15" x14ac:dyDescent="0.3">
      <c r="A618" t="s">
        <v>643</v>
      </c>
      <c r="B618" s="3">
        <v>46060</v>
      </c>
      <c r="C618" t="s">
        <v>443</v>
      </c>
      <c r="D618" t="s">
        <v>22</v>
      </c>
      <c r="E618">
        <v>10</v>
      </c>
      <c r="F618">
        <v>450</v>
      </c>
      <c r="G618">
        <v>0.2</v>
      </c>
      <c r="H618">
        <v>20</v>
      </c>
      <c r="I618" t="s">
        <v>444</v>
      </c>
      <c r="J618" t="s">
        <v>445</v>
      </c>
      <c r="K618">
        <v>150</v>
      </c>
      <c r="L618">
        <f t="shared" si="36"/>
        <v>4500</v>
      </c>
      <c r="M618">
        <f t="shared" si="37"/>
        <v>90</v>
      </c>
      <c r="N618">
        <f t="shared" si="38"/>
        <v>1500</v>
      </c>
      <c r="O618" s="5">
        <f t="shared" si="39"/>
        <v>2980</v>
      </c>
    </row>
    <row r="619" spans="1:15" x14ac:dyDescent="0.3">
      <c r="A619" t="s">
        <v>644</v>
      </c>
      <c r="B619" s="3">
        <v>46215</v>
      </c>
      <c r="C619" t="s">
        <v>645</v>
      </c>
      <c r="D619" t="s">
        <v>22</v>
      </c>
      <c r="E619">
        <v>25</v>
      </c>
      <c r="F619">
        <v>300</v>
      </c>
      <c r="G619">
        <v>0</v>
      </c>
      <c r="H619">
        <v>5</v>
      </c>
      <c r="I619" t="s">
        <v>646</v>
      </c>
      <c r="J619" t="s">
        <v>647</v>
      </c>
      <c r="K619">
        <v>20</v>
      </c>
      <c r="L619">
        <f t="shared" si="36"/>
        <v>7500</v>
      </c>
      <c r="M619">
        <f t="shared" si="37"/>
        <v>0</v>
      </c>
      <c r="N619">
        <f t="shared" si="38"/>
        <v>500</v>
      </c>
      <c r="O619" s="5">
        <f t="shared" si="39"/>
        <v>6995</v>
      </c>
    </row>
    <row r="620" spans="1:15" x14ac:dyDescent="0.3">
      <c r="A620" t="s">
        <v>648</v>
      </c>
      <c r="B620" s="3">
        <v>46207</v>
      </c>
      <c r="C620" t="s">
        <v>645</v>
      </c>
      <c r="D620" t="s">
        <v>17</v>
      </c>
      <c r="E620">
        <v>17</v>
      </c>
      <c r="F620">
        <v>300</v>
      </c>
      <c r="G620">
        <v>0.2</v>
      </c>
      <c r="H620">
        <v>5</v>
      </c>
      <c r="I620" t="s">
        <v>646</v>
      </c>
      <c r="J620" t="s">
        <v>647</v>
      </c>
      <c r="K620">
        <v>20</v>
      </c>
      <c r="L620">
        <f t="shared" si="36"/>
        <v>5100</v>
      </c>
      <c r="M620">
        <f t="shared" si="37"/>
        <v>60</v>
      </c>
      <c r="N620">
        <f t="shared" si="38"/>
        <v>340</v>
      </c>
      <c r="O620" s="5">
        <f t="shared" si="39"/>
        <v>4755</v>
      </c>
    </row>
    <row r="621" spans="1:15" x14ac:dyDescent="0.3">
      <c r="A621" t="s">
        <v>649</v>
      </c>
      <c r="B621" s="3">
        <v>46341</v>
      </c>
      <c r="C621" t="s">
        <v>645</v>
      </c>
      <c r="D621" t="s">
        <v>17</v>
      </c>
      <c r="E621">
        <v>15</v>
      </c>
      <c r="F621">
        <v>300</v>
      </c>
      <c r="G621">
        <v>0.2</v>
      </c>
      <c r="H621">
        <v>15</v>
      </c>
      <c r="I621" t="s">
        <v>646</v>
      </c>
      <c r="J621" t="s">
        <v>647</v>
      </c>
      <c r="K621">
        <v>20</v>
      </c>
      <c r="L621">
        <f t="shared" si="36"/>
        <v>4500</v>
      </c>
      <c r="M621">
        <f t="shared" si="37"/>
        <v>60</v>
      </c>
      <c r="N621">
        <f t="shared" si="38"/>
        <v>300</v>
      </c>
      <c r="O621" s="5">
        <f t="shared" si="39"/>
        <v>4185</v>
      </c>
    </row>
    <row r="622" spans="1:15" x14ac:dyDescent="0.3">
      <c r="A622" t="s">
        <v>650</v>
      </c>
      <c r="B622" s="3">
        <v>46291</v>
      </c>
      <c r="C622" t="s">
        <v>645</v>
      </c>
      <c r="D622" t="s">
        <v>24</v>
      </c>
      <c r="E622">
        <v>9</v>
      </c>
      <c r="F622">
        <v>300</v>
      </c>
      <c r="G622">
        <v>0.35</v>
      </c>
      <c r="H622">
        <v>10</v>
      </c>
      <c r="I622" t="s">
        <v>646</v>
      </c>
      <c r="J622" t="s">
        <v>647</v>
      </c>
      <c r="K622">
        <v>20</v>
      </c>
      <c r="L622">
        <f t="shared" si="36"/>
        <v>2700</v>
      </c>
      <c r="M622">
        <f t="shared" si="37"/>
        <v>105</v>
      </c>
      <c r="N622">
        <f t="shared" si="38"/>
        <v>180</v>
      </c>
      <c r="O622" s="5">
        <f t="shared" si="39"/>
        <v>2510</v>
      </c>
    </row>
    <row r="623" spans="1:15" x14ac:dyDescent="0.3">
      <c r="A623" t="s">
        <v>651</v>
      </c>
      <c r="B623" s="3">
        <v>46335</v>
      </c>
      <c r="C623" t="s">
        <v>645</v>
      </c>
      <c r="D623" t="s">
        <v>24</v>
      </c>
      <c r="E623">
        <v>2</v>
      </c>
      <c r="F623">
        <v>300</v>
      </c>
      <c r="G623">
        <v>0.1</v>
      </c>
      <c r="H623">
        <v>10</v>
      </c>
      <c r="I623" t="s">
        <v>646</v>
      </c>
      <c r="J623" t="s">
        <v>647</v>
      </c>
      <c r="K623">
        <v>20</v>
      </c>
      <c r="L623">
        <f t="shared" si="36"/>
        <v>600</v>
      </c>
      <c r="M623">
        <f t="shared" si="37"/>
        <v>30</v>
      </c>
      <c r="N623">
        <f t="shared" si="38"/>
        <v>40</v>
      </c>
      <c r="O623" s="5">
        <f t="shared" si="39"/>
        <v>550</v>
      </c>
    </row>
    <row r="624" spans="1:15" x14ac:dyDescent="0.3">
      <c r="A624" t="s">
        <v>652</v>
      </c>
      <c r="B624" s="3">
        <v>46282</v>
      </c>
      <c r="C624" t="s">
        <v>645</v>
      </c>
      <c r="D624" t="s">
        <v>34</v>
      </c>
      <c r="E624">
        <v>4</v>
      </c>
      <c r="F624">
        <v>300</v>
      </c>
      <c r="G624">
        <v>0.35</v>
      </c>
      <c r="H624">
        <v>15</v>
      </c>
      <c r="I624" t="s">
        <v>646</v>
      </c>
      <c r="J624" t="s">
        <v>647</v>
      </c>
      <c r="K624">
        <v>20</v>
      </c>
      <c r="L624">
        <f t="shared" si="36"/>
        <v>1200</v>
      </c>
      <c r="M624">
        <f t="shared" si="37"/>
        <v>105</v>
      </c>
      <c r="N624">
        <f t="shared" si="38"/>
        <v>80</v>
      </c>
      <c r="O624" s="5">
        <f t="shared" si="39"/>
        <v>1105</v>
      </c>
    </row>
    <row r="625" spans="1:15" x14ac:dyDescent="0.3">
      <c r="A625" t="s">
        <v>653</v>
      </c>
      <c r="B625" s="3">
        <v>46158</v>
      </c>
      <c r="C625" t="s">
        <v>645</v>
      </c>
      <c r="D625" t="s">
        <v>22</v>
      </c>
      <c r="E625">
        <v>15</v>
      </c>
      <c r="F625">
        <v>300</v>
      </c>
      <c r="G625">
        <v>0.35</v>
      </c>
      <c r="H625">
        <v>15</v>
      </c>
      <c r="I625" t="s">
        <v>646</v>
      </c>
      <c r="J625" t="s">
        <v>647</v>
      </c>
      <c r="K625">
        <v>20</v>
      </c>
      <c r="L625">
        <f t="shared" si="36"/>
        <v>4500</v>
      </c>
      <c r="M625">
        <f t="shared" si="37"/>
        <v>105</v>
      </c>
      <c r="N625">
        <f t="shared" si="38"/>
        <v>300</v>
      </c>
      <c r="O625" s="5">
        <f t="shared" si="39"/>
        <v>4185</v>
      </c>
    </row>
    <row r="626" spans="1:15" x14ac:dyDescent="0.3">
      <c r="A626" t="s">
        <v>654</v>
      </c>
      <c r="B626" s="3">
        <v>46057</v>
      </c>
      <c r="C626" t="s">
        <v>645</v>
      </c>
      <c r="D626" t="s">
        <v>34</v>
      </c>
      <c r="E626">
        <v>21</v>
      </c>
      <c r="F626">
        <v>300</v>
      </c>
      <c r="G626">
        <v>0.2</v>
      </c>
      <c r="H626">
        <v>5</v>
      </c>
      <c r="I626" t="s">
        <v>646</v>
      </c>
      <c r="J626" t="s">
        <v>647</v>
      </c>
      <c r="K626">
        <v>20</v>
      </c>
      <c r="L626">
        <f t="shared" si="36"/>
        <v>6300</v>
      </c>
      <c r="M626">
        <f t="shared" si="37"/>
        <v>60</v>
      </c>
      <c r="N626">
        <f t="shared" si="38"/>
        <v>420</v>
      </c>
      <c r="O626" s="5">
        <f t="shared" si="39"/>
        <v>5875</v>
      </c>
    </row>
    <row r="627" spans="1:15" x14ac:dyDescent="0.3">
      <c r="A627" t="s">
        <v>655</v>
      </c>
      <c r="B627" s="3">
        <v>46079</v>
      </c>
      <c r="C627" t="s">
        <v>645</v>
      </c>
      <c r="D627" t="s">
        <v>34</v>
      </c>
      <c r="E627">
        <v>19</v>
      </c>
      <c r="F627">
        <v>300</v>
      </c>
      <c r="G627">
        <v>0.1</v>
      </c>
      <c r="H627">
        <v>15</v>
      </c>
      <c r="I627" t="s">
        <v>646</v>
      </c>
      <c r="J627" t="s">
        <v>647</v>
      </c>
      <c r="K627">
        <v>20</v>
      </c>
      <c r="L627">
        <f t="shared" si="36"/>
        <v>5700</v>
      </c>
      <c r="M627">
        <f t="shared" si="37"/>
        <v>30</v>
      </c>
      <c r="N627">
        <f t="shared" si="38"/>
        <v>380</v>
      </c>
      <c r="O627" s="5">
        <f t="shared" si="39"/>
        <v>5305</v>
      </c>
    </row>
    <row r="628" spans="1:15" x14ac:dyDescent="0.3">
      <c r="A628" t="s">
        <v>656</v>
      </c>
      <c r="B628" s="3">
        <v>46319</v>
      </c>
      <c r="C628" t="s">
        <v>645</v>
      </c>
      <c r="D628" t="s">
        <v>24</v>
      </c>
      <c r="E628">
        <v>9</v>
      </c>
      <c r="F628">
        <v>300</v>
      </c>
      <c r="G628">
        <v>0.35</v>
      </c>
      <c r="H628">
        <v>5</v>
      </c>
      <c r="I628" t="s">
        <v>646</v>
      </c>
      <c r="J628" t="s">
        <v>647</v>
      </c>
      <c r="K628">
        <v>20</v>
      </c>
      <c r="L628">
        <f t="shared" si="36"/>
        <v>2700</v>
      </c>
      <c r="M628">
        <f t="shared" si="37"/>
        <v>105</v>
      </c>
      <c r="N628">
        <f t="shared" si="38"/>
        <v>180</v>
      </c>
      <c r="O628" s="5">
        <f t="shared" si="39"/>
        <v>2515</v>
      </c>
    </row>
    <row r="629" spans="1:15" x14ac:dyDescent="0.3">
      <c r="A629" t="s">
        <v>657</v>
      </c>
      <c r="B629" s="3">
        <v>46095</v>
      </c>
      <c r="C629" t="s">
        <v>645</v>
      </c>
      <c r="D629" t="s">
        <v>34</v>
      </c>
      <c r="E629">
        <v>25</v>
      </c>
      <c r="F629">
        <v>300</v>
      </c>
      <c r="G629">
        <v>0.35</v>
      </c>
      <c r="H629">
        <v>10</v>
      </c>
      <c r="I629" t="s">
        <v>646</v>
      </c>
      <c r="J629" t="s">
        <v>647</v>
      </c>
      <c r="K629">
        <v>20</v>
      </c>
      <c r="L629">
        <f t="shared" si="36"/>
        <v>7500</v>
      </c>
      <c r="M629">
        <f t="shared" si="37"/>
        <v>105</v>
      </c>
      <c r="N629">
        <f t="shared" si="38"/>
        <v>500</v>
      </c>
      <c r="O629" s="5">
        <f t="shared" si="39"/>
        <v>6990</v>
      </c>
    </row>
    <row r="630" spans="1:15" x14ac:dyDescent="0.3">
      <c r="A630" t="s">
        <v>658</v>
      </c>
      <c r="B630" s="3">
        <v>46285</v>
      </c>
      <c r="C630" t="s">
        <v>645</v>
      </c>
      <c r="D630" t="s">
        <v>22</v>
      </c>
      <c r="E630">
        <v>3</v>
      </c>
      <c r="F630">
        <v>300</v>
      </c>
      <c r="G630">
        <v>0.35</v>
      </c>
      <c r="H630">
        <v>20</v>
      </c>
      <c r="I630" t="s">
        <v>646</v>
      </c>
      <c r="J630" t="s">
        <v>647</v>
      </c>
      <c r="K630">
        <v>20</v>
      </c>
      <c r="L630">
        <f t="shared" si="36"/>
        <v>900</v>
      </c>
      <c r="M630">
        <f t="shared" si="37"/>
        <v>105</v>
      </c>
      <c r="N630">
        <f t="shared" si="38"/>
        <v>60</v>
      </c>
      <c r="O630" s="5">
        <f t="shared" si="39"/>
        <v>820</v>
      </c>
    </row>
    <row r="631" spans="1:15" x14ac:dyDescent="0.3">
      <c r="A631" t="s">
        <v>659</v>
      </c>
      <c r="B631" s="3">
        <v>46361</v>
      </c>
      <c r="C631" t="s">
        <v>645</v>
      </c>
      <c r="D631" t="s">
        <v>24</v>
      </c>
      <c r="E631">
        <v>18</v>
      </c>
      <c r="F631">
        <v>300</v>
      </c>
      <c r="G631">
        <v>0.35</v>
      </c>
      <c r="H631">
        <v>20</v>
      </c>
      <c r="I631" t="s">
        <v>646</v>
      </c>
      <c r="J631" t="s">
        <v>647</v>
      </c>
      <c r="K631">
        <v>20</v>
      </c>
      <c r="L631">
        <f t="shared" si="36"/>
        <v>5400</v>
      </c>
      <c r="M631">
        <f t="shared" si="37"/>
        <v>105</v>
      </c>
      <c r="N631">
        <f t="shared" si="38"/>
        <v>360</v>
      </c>
      <c r="O631" s="5">
        <f t="shared" si="39"/>
        <v>5020</v>
      </c>
    </row>
    <row r="632" spans="1:15" x14ac:dyDescent="0.3">
      <c r="A632" t="s">
        <v>660</v>
      </c>
      <c r="B632" s="3">
        <v>46375</v>
      </c>
      <c r="C632" t="s">
        <v>645</v>
      </c>
      <c r="D632" t="s">
        <v>17</v>
      </c>
      <c r="E632">
        <v>20</v>
      </c>
      <c r="F632">
        <v>300</v>
      </c>
      <c r="G632">
        <v>0.35</v>
      </c>
      <c r="H632">
        <v>5</v>
      </c>
      <c r="I632" t="s">
        <v>646</v>
      </c>
      <c r="J632" t="s">
        <v>647</v>
      </c>
      <c r="K632">
        <v>20</v>
      </c>
      <c r="L632">
        <f t="shared" si="36"/>
        <v>6000</v>
      </c>
      <c r="M632">
        <f t="shared" si="37"/>
        <v>105</v>
      </c>
      <c r="N632">
        <f t="shared" si="38"/>
        <v>400</v>
      </c>
      <c r="O632" s="5">
        <f t="shared" si="39"/>
        <v>5595</v>
      </c>
    </row>
    <row r="633" spans="1:15" x14ac:dyDescent="0.3">
      <c r="A633" t="s">
        <v>661</v>
      </c>
      <c r="B633" s="3">
        <v>46158</v>
      </c>
      <c r="C633" t="s">
        <v>645</v>
      </c>
      <c r="D633" t="s">
        <v>24</v>
      </c>
      <c r="E633">
        <v>21</v>
      </c>
      <c r="F633">
        <v>300</v>
      </c>
      <c r="G633">
        <v>0.35</v>
      </c>
      <c r="H633">
        <v>5</v>
      </c>
      <c r="I633" t="s">
        <v>646</v>
      </c>
      <c r="J633" t="s">
        <v>647</v>
      </c>
      <c r="K633">
        <v>20</v>
      </c>
      <c r="L633">
        <f t="shared" si="36"/>
        <v>6300</v>
      </c>
      <c r="M633">
        <f t="shared" si="37"/>
        <v>105</v>
      </c>
      <c r="N633">
        <f t="shared" si="38"/>
        <v>420</v>
      </c>
      <c r="O633" s="5">
        <f t="shared" si="39"/>
        <v>5875</v>
      </c>
    </row>
    <row r="634" spans="1:15" x14ac:dyDescent="0.3">
      <c r="A634" t="s">
        <v>662</v>
      </c>
      <c r="B634" s="3">
        <v>46155</v>
      </c>
      <c r="C634" t="s">
        <v>645</v>
      </c>
      <c r="D634" t="s">
        <v>34</v>
      </c>
      <c r="E634">
        <v>15</v>
      </c>
      <c r="F634">
        <v>300</v>
      </c>
      <c r="G634">
        <v>0.35</v>
      </c>
      <c r="H634">
        <v>15</v>
      </c>
      <c r="I634" t="s">
        <v>646</v>
      </c>
      <c r="J634" t="s">
        <v>647</v>
      </c>
      <c r="K634">
        <v>20</v>
      </c>
      <c r="L634">
        <f t="shared" si="36"/>
        <v>4500</v>
      </c>
      <c r="M634">
        <f t="shared" si="37"/>
        <v>105</v>
      </c>
      <c r="N634">
        <f t="shared" si="38"/>
        <v>300</v>
      </c>
      <c r="O634" s="5">
        <f t="shared" si="39"/>
        <v>4185</v>
      </c>
    </row>
    <row r="635" spans="1:15" x14ac:dyDescent="0.3">
      <c r="A635" t="s">
        <v>663</v>
      </c>
      <c r="B635" s="3">
        <v>46095</v>
      </c>
      <c r="C635" t="s">
        <v>645</v>
      </c>
      <c r="D635" t="s">
        <v>17</v>
      </c>
      <c r="E635">
        <v>11</v>
      </c>
      <c r="F635">
        <v>300</v>
      </c>
      <c r="G635">
        <v>0.2</v>
      </c>
      <c r="H635">
        <v>5</v>
      </c>
      <c r="I635" t="s">
        <v>646</v>
      </c>
      <c r="J635" t="s">
        <v>647</v>
      </c>
      <c r="K635">
        <v>20</v>
      </c>
      <c r="L635">
        <f t="shared" si="36"/>
        <v>3300</v>
      </c>
      <c r="M635">
        <f t="shared" si="37"/>
        <v>60</v>
      </c>
      <c r="N635">
        <f t="shared" si="38"/>
        <v>220</v>
      </c>
      <c r="O635" s="5">
        <f t="shared" si="39"/>
        <v>3075</v>
      </c>
    </row>
    <row r="636" spans="1:15" x14ac:dyDescent="0.3">
      <c r="A636" t="s">
        <v>664</v>
      </c>
      <c r="B636" s="3">
        <v>46212</v>
      </c>
      <c r="C636" t="s">
        <v>645</v>
      </c>
      <c r="D636" t="s">
        <v>24</v>
      </c>
      <c r="E636">
        <v>25</v>
      </c>
      <c r="F636">
        <v>300</v>
      </c>
      <c r="G636">
        <v>0.2</v>
      </c>
      <c r="H636">
        <v>5</v>
      </c>
      <c r="I636" t="s">
        <v>646</v>
      </c>
      <c r="J636" t="s">
        <v>647</v>
      </c>
      <c r="K636">
        <v>20</v>
      </c>
      <c r="L636">
        <f t="shared" si="36"/>
        <v>7500</v>
      </c>
      <c r="M636">
        <f t="shared" si="37"/>
        <v>60</v>
      </c>
      <c r="N636">
        <f t="shared" si="38"/>
        <v>500</v>
      </c>
      <c r="O636" s="5">
        <f t="shared" si="39"/>
        <v>6995</v>
      </c>
    </row>
    <row r="637" spans="1:15" x14ac:dyDescent="0.3">
      <c r="A637" t="s">
        <v>665</v>
      </c>
      <c r="B637" s="3">
        <v>46348</v>
      </c>
      <c r="C637" t="s">
        <v>645</v>
      </c>
      <c r="D637" t="s">
        <v>17</v>
      </c>
      <c r="E637">
        <v>8</v>
      </c>
      <c r="F637">
        <v>300</v>
      </c>
      <c r="G637">
        <v>0.35</v>
      </c>
      <c r="H637">
        <v>5</v>
      </c>
      <c r="I637" t="s">
        <v>646</v>
      </c>
      <c r="J637" t="s">
        <v>647</v>
      </c>
      <c r="K637">
        <v>20</v>
      </c>
      <c r="L637">
        <f t="shared" si="36"/>
        <v>2400</v>
      </c>
      <c r="M637">
        <f t="shared" si="37"/>
        <v>105</v>
      </c>
      <c r="N637">
        <f t="shared" si="38"/>
        <v>160</v>
      </c>
      <c r="O637" s="5">
        <f t="shared" si="39"/>
        <v>2235</v>
      </c>
    </row>
    <row r="638" spans="1:15" x14ac:dyDescent="0.3">
      <c r="A638" t="s">
        <v>666</v>
      </c>
      <c r="B638" s="3">
        <v>46335</v>
      </c>
      <c r="C638" t="s">
        <v>645</v>
      </c>
      <c r="D638" t="s">
        <v>17</v>
      </c>
      <c r="E638">
        <v>2</v>
      </c>
      <c r="F638">
        <v>300</v>
      </c>
      <c r="G638">
        <v>0</v>
      </c>
      <c r="H638">
        <v>10</v>
      </c>
      <c r="I638" t="s">
        <v>646</v>
      </c>
      <c r="J638" t="s">
        <v>647</v>
      </c>
      <c r="K638">
        <v>20</v>
      </c>
      <c r="L638">
        <f t="shared" si="36"/>
        <v>600</v>
      </c>
      <c r="M638">
        <f t="shared" si="37"/>
        <v>0</v>
      </c>
      <c r="N638">
        <f t="shared" si="38"/>
        <v>40</v>
      </c>
      <c r="O638" s="5">
        <f t="shared" si="39"/>
        <v>550</v>
      </c>
    </row>
    <row r="639" spans="1:15" x14ac:dyDescent="0.3">
      <c r="A639" t="s">
        <v>667</v>
      </c>
      <c r="B639" s="3">
        <v>46144</v>
      </c>
      <c r="C639" t="s">
        <v>645</v>
      </c>
      <c r="D639" t="s">
        <v>24</v>
      </c>
      <c r="E639">
        <v>7</v>
      </c>
      <c r="F639">
        <v>300</v>
      </c>
      <c r="G639">
        <v>0.2</v>
      </c>
      <c r="H639">
        <v>10</v>
      </c>
      <c r="I639" t="s">
        <v>646</v>
      </c>
      <c r="J639" t="s">
        <v>647</v>
      </c>
      <c r="K639">
        <v>20</v>
      </c>
      <c r="L639">
        <f t="shared" si="36"/>
        <v>2100</v>
      </c>
      <c r="M639">
        <f t="shared" si="37"/>
        <v>60</v>
      </c>
      <c r="N639">
        <f t="shared" si="38"/>
        <v>140</v>
      </c>
      <c r="O639" s="5">
        <f t="shared" si="39"/>
        <v>1950</v>
      </c>
    </row>
    <row r="640" spans="1:15" x14ac:dyDescent="0.3">
      <c r="A640" t="s">
        <v>668</v>
      </c>
      <c r="B640" s="3">
        <v>46202</v>
      </c>
      <c r="C640" t="s">
        <v>645</v>
      </c>
      <c r="D640" t="s">
        <v>24</v>
      </c>
      <c r="E640">
        <v>21</v>
      </c>
      <c r="F640">
        <v>300</v>
      </c>
      <c r="G640">
        <v>0.1</v>
      </c>
      <c r="H640">
        <v>10</v>
      </c>
      <c r="I640" t="s">
        <v>646</v>
      </c>
      <c r="J640" t="s">
        <v>647</v>
      </c>
      <c r="K640">
        <v>20</v>
      </c>
      <c r="L640">
        <f t="shared" si="36"/>
        <v>6300</v>
      </c>
      <c r="M640">
        <f t="shared" si="37"/>
        <v>30</v>
      </c>
      <c r="N640">
        <f t="shared" si="38"/>
        <v>420</v>
      </c>
      <c r="O640" s="5">
        <f t="shared" si="39"/>
        <v>5870</v>
      </c>
    </row>
    <row r="641" spans="1:15" x14ac:dyDescent="0.3">
      <c r="A641" t="s">
        <v>669</v>
      </c>
      <c r="B641" s="3">
        <v>46240</v>
      </c>
      <c r="C641" t="s">
        <v>645</v>
      </c>
      <c r="D641" t="s">
        <v>34</v>
      </c>
      <c r="E641">
        <v>20</v>
      </c>
      <c r="F641">
        <v>300</v>
      </c>
      <c r="G641">
        <v>0.1</v>
      </c>
      <c r="H641">
        <v>20</v>
      </c>
      <c r="I641" t="s">
        <v>646</v>
      </c>
      <c r="J641" t="s">
        <v>647</v>
      </c>
      <c r="K641">
        <v>20</v>
      </c>
      <c r="L641">
        <f t="shared" si="36"/>
        <v>6000</v>
      </c>
      <c r="M641">
        <f t="shared" si="37"/>
        <v>30</v>
      </c>
      <c r="N641">
        <f t="shared" si="38"/>
        <v>400</v>
      </c>
      <c r="O641" s="5">
        <f t="shared" si="39"/>
        <v>5580</v>
      </c>
    </row>
    <row r="642" spans="1:15" x14ac:dyDescent="0.3">
      <c r="A642" t="s">
        <v>670</v>
      </c>
      <c r="B642" s="3">
        <v>46057</v>
      </c>
      <c r="C642" t="s">
        <v>645</v>
      </c>
      <c r="D642" t="s">
        <v>22</v>
      </c>
      <c r="E642">
        <v>22</v>
      </c>
      <c r="F642">
        <v>300</v>
      </c>
      <c r="G642">
        <v>0.2</v>
      </c>
      <c r="H642">
        <v>15</v>
      </c>
      <c r="I642" t="s">
        <v>646</v>
      </c>
      <c r="J642" t="s">
        <v>647</v>
      </c>
      <c r="K642">
        <v>20</v>
      </c>
      <c r="L642">
        <f t="shared" ref="L642:L705" si="40">E642*F642</f>
        <v>6600</v>
      </c>
      <c r="M642">
        <f t="shared" ref="M642:M705" si="41">F642*G642</f>
        <v>60</v>
      </c>
      <c r="N642">
        <f t="shared" ref="N642:N705" si="42">E642*K642</f>
        <v>440</v>
      </c>
      <c r="O642" s="5">
        <f t="shared" ref="O642:O705" si="43">L642-H642-N642</f>
        <v>6145</v>
      </c>
    </row>
    <row r="643" spans="1:15" x14ac:dyDescent="0.3">
      <c r="A643" t="s">
        <v>671</v>
      </c>
      <c r="B643" s="3">
        <v>46144</v>
      </c>
      <c r="C643" t="s">
        <v>645</v>
      </c>
      <c r="D643" t="s">
        <v>22</v>
      </c>
      <c r="E643">
        <v>13</v>
      </c>
      <c r="F643">
        <v>300</v>
      </c>
      <c r="G643">
        <v>0</v>
      </c>
      <c r="H643">
        <v>15</v>
      </c>
      <c r="I643" t="s">
        <v>646</v>
      </c>
      <c r="J643" t="s">
        <v>647</v>
      </c>
      <c r="K643">
        <v>20</v>
      </c>
      <c r="L643">
        <f t="shared" si="40"/>
        <v>3900</v>
      </c>
      <c r="M643">
        <f t="shared" si="41"/>
        <v>0</v>
      </c>
      <c r="N643">
        <f t="shared" si="42"/>
        <v>260</v>
      </c>
      <c r="O643" s="5">
        <f t="shared" si="43"/>
        <v>3625</v>
      </c>
    </row>
    <row r="644" spans="1:15" x14ac:dyDescent="0.3">
      <c r="A644" t="s">
        <v>672</v>
      </c>
      <c r="B644" s="3">
        <v>46231</v>
      </c>
      <c r="C644" t="s">
        <v>645</v>
      </c>
      <c r="D644" t="s">
        <v>22</v>
      </c>
      <c r="E644">
        <v>11</v>
      </c>
      <c r="F644">
        <v>300</v>
      </c>
      <c r="G644">
        <v>0.1</v>
      </c>
      <c r="H644">
        <v>20</v>
      </c>
      <c r="I644" t="s">
        <v>646</v>
      </c>
      <c r="J644" t="s">
        <v>647</v>
      </c>
      <c r="K644">
        <v>20</v>
      </c>
      <c r="L644">
        <f t="shared" si="40"/>
        <v>3300</v>
      </c>
      <c r="M644">
        <f t="shared" si="41"/>
        <v>30</v>
      </c>
      <c r="N644">
        <f t="shared" si="42"/>
        <v>220</v>
      </c>
      <c r="O644" s="5">
        <f t="shared" si="43"/>
        <v>3060</v>
      </c>
    </row>
    <row r="645" spans="1:15" x14ac:dyDescent="0.3">
      <c r="A645" t="s">
        <v>673</v>
      </c>
      <c r="B645" s="3">
        <v>46099</v>
      </c>
      <c r="C645" t="s">
        <v>645</v>
      </c>
      <c r="D645" t="s">
        <v>34</v>
      </c>
      <c r="E645">
        <v>10</v>
      </c>
      <c r="F645">
        <v>300</v>
      </c>
      <c r="G645">
        <v>0.2</v>
      </c>
      <c r="H645">
        <v>5</v>
      </c>
      <c r="I645" t="s">
        <v>646</v>
      </c>
      <c r="J645" t="s">
        <v>647</v>
      </c>
      <c r="K645">
        <v>20</v>
      </c>
      <c r="L645">
        <f t="shared" si="40"/>
        <v>3000</v>
      </c>
      <c r="M645">
        <f t="shared" si="41"/>
        <v>60</v>
      </c>
      <c r="N645">
        <f t="shared" si="42"/>
        <v>200</v>
      </c>
      <c r="O645" s="5">
        <f t="shared" si="43"/>
        <v>2795</v>
      </c>
    </row>
    <row r="646" spans="1:15" x14ac:dyDescent="0.3">
      <c r="A646" t="s">
        <v>674</v>
      </c>
      <c r="B646" s="3">
        <v>46310</v>
      </c>
      <c r="C646" t="s">
        <v>645</v>
      </c>
      <c r="D646" t="s">
        <v>24</v>
      </c>
      <c r="E646">
        <v>6</v>
      </c>
      <c r="F646">
        <v>300</v>
      </c>
      <c r="G646">
        <v>0</v>
      </c>
      <c r="H646">
        <v>20</v>
      </c>
      <c r="I646" t="s">
        <v>646</v>
      </c>
      <c r="J646" t="s">
        <v>647</v>
      </c>
      <c r="K646">
        <v>20</v>
      </c>
      <c r="L646">
        <f t="shared" si="40"/>
        <v>1800</v>
      </c>
      <c r="M646">
        <f t="shared" si="41"/>
        <v>0</v>
      </c>
      <c r="N646">
        <f t="shared" si="42"/>
        <v>120</v>
      </c>
      <c r="O646" s="5">
        <f t="shared" si="43"/>
        <v>1660</v>
      </c>
    </row>
    <row r="647" spans="1:15" x14ac:dyDescent="0.3">
      <c r="A647" t="s">
        <v>675</v>
      </c>
      <c r="B647" s="3">
        <v>46122</v>
      </c>
      <c r="C647" t="s">
        <v>645</v>
      </c>
      <c r="D647" t="s">
        <v>17</v>
      </c>
      <c r="E647">
        <v>13</v>
      </c>
      <c r="F647">
        <v>300</v>
      </c>
      <c r="G647">
        <v>0</v>
      </c>
      <c r="H647">
        <v>10</v>
      </c>
      <c r="I647" t="s">
        <v>646</v>
      </c>
      <c r="J647" t="s">
        <v>647</v>
      </c>
      <c r="K647">
        <v>20</v>
      </c>
      <c r="L647">
        <f t="shared" si="40"/>
        <v>3900</v>
      </c>
      <c r="M647">
        <f t="shared" si="41"/>
        <v>0</v>
      </c>
      <c r="N647">
        <f t="shared" si="42"/>
        <v>260</v>
      </c>
      <c r="O647" s="5">
        <f t="shared" si="43"/>
        <v>3630</v>
      </c>
    </row>
    <row r="648" spans="1:15" x14ac:dyDescent="0.3">
      <c r="A648" t="s">
        <v>676</v>
      </c>
      <c r="B648" s="3">
        <v>46179</v>
      </c>
      <c r="C648" t="s">
        <v>645</v>
      </c>
      <c r="D648" t="s">
        <v>22</v>
      </c>
      <c r="E648">
        <v>9</v>
      </c>
      <c r="F648">
        <v>300</v>
      </c>
      <c r="G648">
        <v>0.1</v>
      </c>
      <c r="H648">
        <v>10</v>
      </c>
      <c r="I648" t="s">
        <v>646</v>
      </c>
      <c r="J648" t="s">
        <v>647</v>
      </c>
      <c r="K648">
        <v>20</v>
      </c>
      <c r="L648">
        <f t="shared" si="40"/>
        <v>2700</v>
      </c>
      <c r="M648">
        <f t="shared" si="41"/>
        <v>30</v>
      </c>
      <c r="N648">
        <f t="shared" si="42"/>
        <v>180</v>
      </c>
      <c r="O648" s="5">
        <f t="shared" si="43"/>
        <v>2510</v>
      </c>
    </row>
    <row r="649" spans="1:15" x14ac:dyDescent="0.3">
      <c r="A649" t="s">
        <v>677</v>
      </c>
      <c r="B649" s="3">
        <v>46317</v>
      </c>
      <c r="C649" t="s">
        <v>645</v>
      </c>
      <c r="D649" t="s">
        <v>34</v>
      </c>
      <c r="E649">
        <v>1</v>
      </c>
      <c r="F649">
        <v>300</v>
      </c>
      <c r="G649">
        <v>0.35</v>
      </c>
      <c r="H649">
        <v>5</v>
      </c>
      <c r="I649" t="s">
        <v>646</v>
      </c>
      <c r="J649" t="s">
        <v>647</v>
      </c>
      <c r="K649">
        <v>20</v>
      </c>
      <c r="L649">
        <f t="shared" si="40"/>
        <v>300</v>
      </c>
      <c r="M649">
        <f t="shared" si="41"/>
        <v>105</v>
      </c>
      <c r="N649">
        <f t="shared" si="42"/>
        <v>20</v>
      </c>
      <c r="O649" s="5">
        <f t="shared" si="43"/>
        <v>275</v>
      </c>
    </row>
    <row r="650" spans="1:15" x14ac:dyDescent="0.3">
      <c r="A650" t="s">
        <v>678</v>
      </c>
      <c r="B650" s="3">
        <v>46242</v>
      </c>
      <c r="C650" t="s">
        <v>645</v>
      </c>
      <c r="D650" t="s">
        <v>24</v>
      </c>
      <c r="E650">
        <v>25</v>
      </c>
      <c r="F650">
        <v>300</v>
      </c>
      <c r="G650">
        <v>0.35</v>
      </c>
      <c r="H650">
        <v>15</v>
      </c>
      <c r="I650" t="s">
        <v>646</v>
      </c>
      <c r="J650" t="s">
        <v>647</v>
      </c>
      <c r="K650">
        <v>20</v>
      </c>
      <c r="L650">
        <f t="shared" si="40"/>
        <v>7500</v>
      </c>
      <c r="M650">
        <f t="shared" si="41"/>
        <v>105</v>
      </c>
      <c r="N650">
        <f t="shared" si="42"/>
        <v>500</v>
      </c>
      <c r="O650" s="5">
        <f t="shared" si="43"/>
        <v>6985</v>
      </c>
    </row>
    <row r="651" spans="1:15" x14ac:dyDescent="0.3">
      <c r="A651" t="s">
        <v>679</v>
      </c>
      <c r="B651" s="3">
        <v>46377</v>
      </c>
      <c r="C651" t="s">
        <v>645</v>
      </c>
      <c r="D651" t="s">
        <v>24</v>
      </c>
      <c r="E651">
        <v>11</v>
      </c>
      <c r="F651">
        <v>300</v>
      </c>
      <c r="G651">
        <v>0.2</v>
      </c>
      <c r="H651">
        <v>20</v>
      </c>
      <c r="I651" t="s">
        <v>646</v>
      </c>
      <c r="J651" t="s">
        <v>647</v>
      </c>
      <c r="K651">
        <v>20</v>
      </c>
      <c r="L651">
        <f t="shared" si="40"/>
        <v>3300</v>
      </c>
      <c r="M651">
        <f t="shared" si="41"/>
        <v>60</v>
      </c>
      <c r="N651">
        <f t="shared" si="42"/>
        <v>220</v>
      </c>
      <c r="O651" s="5">
        <f t="shared" si="43"/>
        <v>3060</v>
      </c>
    </row>
    <row r="652" spans="1:15" x14ac:dyDescent="0.3">
      <c r="A652" t="s">
        <v>680</v>
      </c>
      <c r="B652" s="3">
        <v>46287</v>
      </c>
      <c r="C652" t="s">
        <v>645</v>
      </c>
      <c r="D652" t="s">
        <v>24</v>
      </c>
      <c r="E652">
        <v>1</v>
      </c>
      <c r="F652">
        <v>300</v>
      </c>
      <c r="G652">
        <v>0.1</v>
      </c>
      <c r="H652">
        <v>15</v>
      </c>
      <c r="I652" t="s">
        <v>646</v>
      </c>
      <c r="J652" t="s">
        <v>647</v>
      </c>
      <c r="K652">
        <v>20</v>
      </c>
      <c r="L652">
        <f t="shared" si="40"/>
        <v>300</v>
      </c>
      <c r="M652">
        <f t="shared" si="41"/>
        <v>30</v>
      </c>
      <c r="N652">
        <f t="shared" si="42"/>
        <v>20</v>
      </c>
      <c r="O652" s="5">
        <f t="shared" si="43"/>
        <v>265</v>
      </c>
    </row>
    <row r="653" spans="1:15" x14ac:dyDescent="0.3">
      <c r="A653" t="s">
        <v>681</v>
      </c>
      <c r="B653" s="3">
        <v>46289</v>
      </c>
      <c r="C653" t="s">
        <v>645</v>
      </c>
      <c r="D653" t="s">
        <v>34</v>
      </c>
      <c r="E653">
        <v>19</v>
      </c>
      <c r="F653">
        <v>300</v>
      </c>
      <c r="G653">
        <v>0.35</v>
      </c>
      <c r="H653">
        <v>15</v>
      </c>
      <c r="I653" t="s">
        <v>646</v>
      </c>
      <c r="J653" t="s">
        <v>647</v>
      </c>
      <c r="K653">
        <v>20</v>
      </c>
      <c r="L653">
        <f t="shared" si="40"/>
        <v>5700</v>
      </c>
      <c r="M653">
        <f t="shared" si="41"/>
        <v>105</v>
      </c>
      <c r="N653">
        <f t="shared" si="42"/>
        <v>380</v>
      </c>
      <c r="O653" s="5">
        <f t="shared" si="43"/>
        <v>5305</v>
      </c>
    </row>
    <row r="654" spans="1:15" x14ac:dyDescent="0.3">
      <c r="A654" t="s">
        <v>682</v>
      </c>
      <c r="B654" s="3">
        <v>46297</v>
      </c>
      <c r="C654" t="s">
        <v>645</v>
      </c>
      <c r="D654" t="s">
        <v>22</v>
      </c>
      <c r="E654">
        <v>22</v>
      </c>
      <c r="F654">
        <v>300</v>
      </c>
      <c r="G654">
        <v>0.35</v>
      </c>
      <c r="H654">
        <v>20</v>
      </c>
      <c r="I654" t="s">
        <v>646</v>
      </c>
      <c r="J654" t="s">
        <v>647</v>
      </c>
      <c r="K654">
        <v>20</v>
      </c>
      <c r="L654">
        <f t="shared" si="40"/>
        <v>6600</v>
      </c>
      <c r="M654">
        <f t="shared" si="41"/>
        <v>105</v>
      </c>
      <c r="N654">
        <f t="shared" si="42"/>
        <v>440</v>
      </c>
      <c r="O654" s="5">
        <f t="shared" si="43"/>
        <v>6140</v>
      </c>
    </row>
    <row r="655" spans="1:15" x14ac:dyDescent="0.3">
      <c r="A655" t="s">
        <v>683</v>
      </c>
      <c r="B655" s="3">
        <v>46078</v>
      </c>
      <c r="C655" t="s">
        <v>645</v>
      </c>
      <c r="D655" t="s">
        <v>17</v>
      </c>
      <c r="E655">
        <v>24</v>
      </c>
      <c r="F655">
        <v>300</v>
      </c>
      <c r="G655">
        <v>0.1</v>
      </c>
      <c r="H655">
        <v>15</v>
      </c>
      <c r="I655" t="s">
        <v>646</v>
      </c>
      <c r="J655" t="s">
        <v>647</v>
      </c>
      <c r="K655">
        <v>20</v>
      </c>
      <c r="L655">
        <f t="shared" si="40"/>
        <v>7200</v>
      </c>
      <c r="M655">
        <f t="shared" si="41"/>
        <v>30</v>
      </c>
      <c r="N655">
        <f t="shared" si="42"/>
        <v>480</v>
      </c>
      <c r="O655" s="5">
        <f t="shared" si="43"/>
        <v>6705</v>
      </c>
    </row>
    <row r="656" spans="1:15" x14ac:dyDescent="0.3">
      <c r="A656" t="s">
        <v>684</v>
      </c>
      <c r="B656" s="3">
        <v>46351</v>
      </c>
      <c r="C656" t="s">
        <v>645</v>
      </c>
      <c r="D656" t="s">
        <v>24</v>
      </c>
      <c r="E656">
        <v>23</v>
      </c>
      <c r="F656">
        <v>300</v>
      </c>
      <c r="G656">
        <v>0.1</v>
      </c>
      <c r="H656">
        <v>20</v>
      </c>
      <c r="I656" t="s">
        <v>646</v>
      </c>
      <c r="J656" t="s">
        <v>647</v>
      </c>
      <c r="K656">
        <v>20</v>
      </c>
      <c r="L656">
        <f t="shared" si="40"/>
        <v>6900</v>
      </c>
      <c r="M656">
        <f t="shared" si="41"/>
        <v>30</v>
      </c>
      <c r="N656">
        <f t="shared" si="42"/>
        <v>460</v>
      </c>
      <c r="O656" s="5">
        <f t="shared" si="43"/>
        <v>6420</v>
      </c>
    </row>
    <row r="657" spans="1:15" x14ac:dyDescent="0.3">
      <c r="A657" t="s">
        <v>685</v>
      </c>
      <c r="B657" s="3">
        <v>46352</v>
      </c>
      <c r="C657" t="s">
        <v>645</v>
      </c>
      <c r="D657" t="s">
        <v>34</v>
      </c>
      <c r="E657">
        <v>4</v>
      </c>
      <c r="F657">
        <v>300</v>
      </c>
      <c r="G657">
        <v>0</v>
      </c>
      <c r="H657">
        <v>20</v>
      </c>
      <c r="I657" t="s">
        <v>646</v>
      </c>
      <c r="J657" t="s">
        <v>647</v>
      </c>
      <c r="K657">
        <v>20</v>
      </c>
      <c r="L657">
        <f t="shared" si="40"/>
        <v>1200</v>
      </c>
      <c r="M657">
        <f t="shared" si="41"/>
        <v>0</v>
      </c>
      <c r="N657">
        <f t="shared" si="42"/>
        <v>80</v>
      </c>
      <c r="O657" s="5">
        <f t="shared" si="43"/>
        <v>1100</v>
      </c>
    </row>
    <row r="658" spans="1:15" x14ac:dyDescent="0.3">
      <c r="A658" t="s">
        <v>686</v>
      </c>
      <c r="B658" s="3">
        <v>46238</v>
      </c>
      <c r="C658" t="s">
        <v>645</v>
      </c>
      <c r="D658" t="s">
        <v>34</v>
      </c>
      <c r="E658">
        <v>22</v>
      </c>
      <c r="F658">
        <v>300</v>
      </c>
      <c r="G658">
        <v>0</v>
      </c>
      <c r="H658">
        <v>20</v>
      </c>
      <c r="I658" t="s">
        <v>646</v>
      </c>
      <c r="J658" t="s">
        <v>647</v>
      </c>
      <c r="K658">
        <v>20</v>
      </c>
      <c r="L658">
        <f t="shared" si="40"/>
        <v>6600</v>
      </c>
      <c r="M658">
        <f t="shared" si="41"/>
        <v>0</v>
      </c>
      <c r="N658">
        <f t="shared" si="42"/>
        <v>440</v>
      </c>
      <c r="O658" s="5">
        <f t="shared" si="43"/>
        <v>6140</v>
      </c>
    </row>
    <row r="659" spans="1:15" x14ac:dyDescent="0.3">
      <c r="A659" t="s">
        <v>687</v>
      </c>
      <c r="B659" s="3">
        <v>46100</v>
      </c>
      <c r="C659" t="s">
        <v>645</v>
      </c>
      <c r="D659" t="s">
        <v>24</v>
      </c>
      <c r="E659">
        <v>3</v>
      </c>
      <c r="F659">
        <v>300</v>
      </c>
      <c r="G659">
        <v>0.35</v>
      </c>
      <c r="H659">
        <v>20</v>
      </c>
      <c r="I659" t="s">
        <v>646</v>
      </c>
      <c r="J659" t="s">
        <v>647</v>
      </c>
      <c r="K659">
        <v>20</v>
      </c>
      <c r="L659">
        <f t="shared" si="40"/>
        <v>900</v>
      </c>
      <c r="M659">
        <f t="shared" si="41"/>
        <v>105</v>
      </c>
      <c r="N659">
        <f t="shared" si="42"/>
        <v>60</v>
      </c>
      <c r="O659" s="5">
        <f t="shared" si="43"/>
        <v>820</v>
      </c>
    </row>
    <row r="660" spans="1:15" x14ac:dyDescent="0.3">
      <c r="A660" t="s">
        <v>688</v>
      </c>
      <c r="B660" s="3">
        <v>46268</v>
      </c>
      <c r="C660" t="s">
        <v>645</v>
      </c>
      <c r="D660" t="s">
        <v>17</v>
      </c>
      <c r="E660">
        <v>16</v>
      </c>
      <c r="F660">
        <v>300</v>
      </c>
      <c r="G660">
        <v>0.2</v>
      </c>
      <c r="H660">
        <v>15</v>
      </c>
      <c r="I660" t="s">
        <v>646</v>
      </c>
      <c r="J660" t="s">
        <v>647</v>
      </c>
      <c r="K660">
        <v>20</v>
      </c>
      <c r="L660">
        <f t="shared" si="40"/>
        <v>4800</v>
      </c>
      <c r="M660">
        <f t="shared" si="41"/>
        <v>60</v>
      </c>
      <c r="N660">
        <f t="shared" si="42"/>
        <v>320</v>
      </c>
      <c r="O660" s="5">
        <f t="shared" si="43"/>
        <v>4465</v>
      </c>
    </row>
    <row r="661" spans="1:15" x14ac:dyDescent="0.3">
      <c r="A661" t="s">
        <v>689</v>
      </c>
      <c r="B661" s="3">
        <v>46162</v>
      </c>
      <c r="C661" t="s">
        <v>645</v>
      </c>
      <c r="D661" t="s">
        <v>17</v>
      </c>
      <c r="E661">
        <v>18</v>
      </c>
      <c r="F661">
        <v>300</v>
      </c>
      <c r="G661">
        <v>0.2</v>
      </c>
      <c r="H661">
        <v>10</v>
      </c>
      <c r="I661" t="s">
        <v>646</v>
      </c>
      <c r="J661" t="s">
        <v>647</v>
      </c>
      <c r="K661">
        <v>20</v>
      </c>
      <c r="L661">
        <f t="shared" si="40"/>
        <v>5400</v>
      </c>
      <c r="M661">
        <f t="shared" si="41"/>
        <v>60</v>
      </c>
      <c r="N661">
        <f t="shared" si="42"/>
        <v>360</v>
      </c>
      <c r="O661" s="5">
        <f t="shared" si="43"/>
        <v>5030</v>
      </c>
    </row>
    <row r="662" spans="1:15" x14ac:dyDescent="0.3">
      <c r="A662" t="s">
        <v>690</v>
      </c>
      <c r="B662" s="3">
        <v>46120</v>
      </c>
      <c r="C662" t="s">
        <v>645</v>
      </c>
      <c r="D662" t="s">
        <v>24</v>
      </c>
      <c r="E662">
        <v>10</v>
      </c>
      <c r="F662">
        <v>300</v>
      </c>
      <c r="G662">
        <v>0.2</v>
      </c>
      <c r="H662">
        <v>15</v>
      </c>
      <c r="I662" t="s">
        <v>646</v>
      </c>
      <c r="J662" t="s">
        <v>647</v>
      </c>
      <c r="K662">
        <v>20</v>
      </c>
      <c r="L662">
        <f t="shared" si="40"/>
        <v>3000</v>
      </c>
      <c r="M662">
        <f t="shared" si="41"/>
        <v>60</v>
      </c>
      <c r="N662">
        <f t="shared" si="42"/>
        <v>200</v>
      </c>
      <c r="O662" s="5">
        <f t="shared" si="43"/>
        <v>2785</v>
      </c>
    </row>
    <row r="663" spans="1:15" x14ac:dyDescent="0.3">
      <c r="A663" t="s">
        <v>691</v>
      </c>
      <c r="B663" s="3">
        <v>46163</v>
      </c>
      <c r="C663" t="s">
        <v>645</v>
      </c>
      <c r="D663" t="s">
        <v>17</v>
      </c>
      <c r="E663">
        <v>1</v>
      </c>
      <c r="F663">
        <v>300</v>
      </c>
      <c r="G663">
        <v>0</v>
      </c>
      <c r="H663">
        <v>20</v>
      </c>
      <c r="I663" t="s">
        <v>646</v>
      </c>
      <c r="J663" t="s">
        <v>647</v>
      </c>
      <c r="K663">
        <v>20</v>
      </c>
      <c r="L663">
        <f t="shared" si="40"/>
        <v>300</v>
      </c>
      <c r="M663">
        <f t="shared" si="41"/>
        <v>0</v>
      </c>
      <c r="N663">
        <f t="shared" si="42"/>
        <v>20</v>
      </c>
      <c r="O663" s="5">
        <f t="shared" si="43"/>
        <v>260</v>
      </c>
    </row>
    <row r="664" spans="1:15" x14ac:dyDescent="0.3">
      <c r="A664" t="s">
        <v>692</v>
      </c>
      <c r="B664" s="3">
        <v>46088</v>
      </c>
      <c r="C664" t="s">
        <v>645</v>
      </c>
      <c r="D664" t="s">
        <v>22</v>
      </c>
      <c r="E664">
        <v>2</v>
      </c>
      <c r="F664">
        <v>300</v>
      </c>
      <c r="G664">
        <v>0.1</v>
      </c>
      <c r="H664">
        <v>10</v>
      </c>
      <c r="I664" t="s">
        <v>646</v>
      </c>
      <c r="J664" t="s">
        <v>647</v>
      </c>
      <c r="K664">
        <v>20</v>
      </c>
      <c r="L664">
        <f t="shared" si="40"/>
        <v>600</v>
      </c>
      <c r="M664">
        <f t="shared" si="41"/>
        <v>30</v>
      </c>
      <c r="N664">
        <f t="shared" si="42"/>
        <v>40</v>
      </c>
      <c r="O664" s="5">
        <f t="shared" si="43"/>
        <v>550</v>
      </c>
    </row>
    <row r="665" spans="1:15" x14ac:dyDescent="0.3">
      <c r="A665" t="s">
        <v>693</v>
      </c>
      <c r="B665" s="3">
        <v>46353</v>
      </c>
      <c r="C665" t="s">
        <v>645</v>
      </c>
      <c r="D665" t="s">
        <v>34</v>
      </c>
      <c r="E665">
        <v>24</v>
      </c>
      <c r="F665">
        <v>300</v>
      </c>
      <c r="G665">
        <v>0</v>
      </c>
      <c r="H665">
        <v>10</v>
      </c>
      <c r="I665" t="s">
        <v>646</v>
      </c>
      <c r="J665" t="s">
        <v>647</v>
      </c>
      <c r="K665">
        <v>20</v>
      </c>
      <c r="L665">
        <f t="shared" si="40"/>
        <v>7200</v>
      </c>
      <c r="M665">
        <f t="shared" si="41"/>
        <v>0</v>
      </c>
      <c r="N665">
        <f t="shared" si="42"/>
        <v>480</v>
      </c>
      <c r="O665" s="5">
        <f t="shared" si="43"/>
        <v>6710</v>
      </c>
    </row>
    <row r="666" spans="1:15" x14ac:dyDescent="0.3">
      <c r="A666" t="s">
        <v>694</v>
      </c>
      <c r="B666" s="3">
        <v>46315</v>
      </c>
      <c r="C666" t="s">
        <v>645</v>
      </c>
      <c r="D666" t="s">
        <v>22</v>
      </c>
      <c r="E666">
        <v>20</v>
      </c>
      <c r="F666">
        <v>300</v>
      </c>
      <c r="G666">
        <v>0.2</v>
      </c>
      <c r="H666">
        <v>15</v>
      </c>
      <c r="I666" t="s">
        <v>646</v>
      </c>
      <c r="J666" t="s">
        <v>647</v>
      </c>
      <c r="K666">
        <v>20</v>
      </c>
      <c r="L666">
        <f t="shared" si="40"/>
        <v>6000</v>
      </c>
      <c r="M666">
        <f t="shared" si="41"/>
        <v>60</v>
      </c>
      <c r="N666">
        <f t="shared" si="42"/>
        <v>400</v>
      </c>
      <c r="O666" s="5">
        <f t="shared" si="43"/>
        <v>5585</v>
      </c>
    </row>
    <row r="667" spans="1:15" x14ac:dyDescent="0.3">
      <c r="A667" t="s">
        <v>695</v>
      </c>
      <c r="B667" s="3">
        <v>46208</v>
      </c>
      <c r="C667" t="s">
        <v>645</v>
      </c>
      <c r="D667" t="s">
        <v>22</v>
      </c>
      <c r="E667">
        <v>2</v>
      </c>
      <c r="F667">
        <v>300</v>
      </c>
      <c r="G667">
        <v>0.2</v>
      </c>
      <c r="H667">
        <v>20</v>
      </c>
      <c r="I667" t="s">
        <v>646</v>
      </c>
      <c r="J667" t="s">
        <v>647</v>
      </c>
      <c r="K667">
        <v>20</v>
      </c>
      <c r="L667">
        <f t="shared" si="40"/>
        <v>600</v>
      </c>
      <c r="M667">
        <f t="shared" si="41"/>
        <v>60</v>
      </c>
      <c r="N667">
        <f t="shared" si="42"/>
        <v>40</v>
      </c>
      <c r="O667" s="5">
        <f t="shared" si="43"/>
        <v>540</v>
      </c>
    </row>
    <row r="668" spans="1:15" x14ac:dyDescent="0.3">
      <c r="A668" t="s">
        <v>696</v>
      </c>
      <c r="B668" s="3">
        <v>46315</v>
      </c>
      <c r="C668" t="s">
        <v>645</v>
      </c>
      <c r="D668" t="s">
        <v>22</v>
      </c>
      <c r="E668">
        <v>12</v>
      </c>
      <c r="F668">
        <v>300</v>
      </c>
      <c r="G668">
        <v>0.35</v>
      </c>
      <c r="H668">
        <v>15</v>
      </c>
      <c r="I668" t="s">
        <v>646</v>
      </c>
      <c r="J668" t="s">
        <v>647</v>
      </c>
      <c r="K668">
        <v>20</v>
      </c>
      <c r="L668">
        <f t="shared" si="40"/>
        <v>3600</v>
      </c>
      <c r="M668">
        <f t="shared" si="41"/>
        <v>105</v>
      </c>
      <c r="N668">
        <f t="shared" si="42"/>
        <v>240</v>
      </c>
      <c r="O668" s="5">
        <f t="shared" si="43"/>
        <v>3345</v>
      </c>
    </row>
    <row r="669" spans="1:15" x14ac:dyDescent="0.3">
      <c r="A669" t="s">
        <v>697</v>
      </c>
      <c r="B669" s="3">
        <v>46043</v>
      </c>
      <c r="C669" t="s">
        <v>645</v>
      </c>
      <c r="D669" t="s">
        <v>22</v>
      </c>
      <c r="E669">
        <v>6</v>
      </c>
      <c r="F669">
        <v>300</v>
      </c>
      <c r="G669">
        <v>0.2</v>
      </c>
      <c r="H669">
        <v>5</v>
      </c>
      <c r="I669" t="s">
        <v>646</v>
      </c>
      <c r="J669" t="s">
        <v>647</v>
      </c>
      <c r="K669">
        <v>20</v>
      </c>
      <c r="L669">
        <f t="shared" si="40"/>
        <v>1800</v>
      </c>
      <c r="M669">
        <f t="shared" si="41"/>
        <v>60</v>
      </c>
      <c r="N669">
        <f t="shared" si="42"/>
        <v>120</v>
      </c>
      <c r="O669" s="5">
        <f t="shared" si="43"/>
        <v>1675</v>
      </c>
    </row>
    <row r="670" spans="1:15" x14ac:dyDescent="0.3">
      <c r="A670" t="s">
        <v>698</v>
      </c>
      <c r="B670" s="3">
        <v>46375</v>
      </c>
      <c r="C670" t="s">
        <v>645</v>
      </c>
      <c r="D670" t="s">
        <v>17</v>
      </c>
      <c r="E670">
        <v>4</v>
      </c>
      <c r="F670">
        <v>300</v>
      </c>
      <c r="G670">
        <v>0.1</v>
      </c>
      <c r="H670">
        <v>15</v>
      </c>
      <c r="I670" t="s">
        <v>646</v>
      </c>
      <c r="J670" t="s">
        <v>647</v>
      </c>
      <c r="K670">
        <v>20</v>
      </c>
      <c r="L670">
        <f t="shared" si="40"/>
        <v>1200</v>
      </c>
      <c r="M670">
        <f t="shared" si="41"/>
        <v>30</v>
      </c>
      <c r="N670">
        <f t="shared" si="42"/>
        <v>80</v>
      </c>
      <c r="O670" s="5">
        <f t="shared" si="43"/>
        <v>1105</v>
      </c>
    </row>
    <row r="671" spans="1:15" x14ac:dyDescent="0.3">
      <c r="A671" t="s">
        <v>699</v>
      </c>
      <c r="B671" s="3">
        <v>46308</v>
      </c>
      <c r="C671" t="s">
        <v>645</v>
      </c>
      <c r="D671" t="s">
        <v>22</v>
      </c>
      <c r="E671">
        <v>21</v>
      </c>
      <c r="F671">
        <v>300</v>
      </c>
      <c r="G671">
        <v>0.2</v>
      </c>
      <c r="H671">
        <v>10</v>
      </c>
      <c r="I671" t="s">
        <v>646</v>
      </c>
      <c r="J671" t="s">
        <v>647</v>
      </c>
      <c r="K671">
        <v>20</v>
      </c>
      <c r="L671">
        <f t="shared" si="40"/>
        <v>6300</v>
      </c>
      <c r="M671">
        <f t="shared" si="41"/>
        <v>60</v>
      </c>
      <c r="N671">
        <f t="shared" si="42"/>
        <v>420</v>
      </c>
      <c r="O671" s="5">
        <f t="shared" si="43"/>
        <v>5870</v>
      </c>
    </row>
    <row r="672" spans="1:15" x14ac:dyDescent="0.3">
      <c r="A672" t="s">
        <v>700</v>
      </c>
      <c r="B672" s="3">
        <v>46329</v>
      </c>
      <c r="C672" t="s">
        <v>645</v>
      </c>
      <c r="D672" t="s">
        <v>17</v>
      </c>
      <c r="E672">
        <v>23</v>
      </c>
      <c r="F672">
        <v>300</v>
      </c>
      <c r="G672">
        <v>0.1</v>
      </c>
      <c r="H672">
        <v>5</v>
      </c>
      <c r="I672" t="s">
        <v>646</v>
      </c>
      <c r="J672" t="s">
        <v>647</v>
      </c>
      <c r="K672">
        <v>20</v>
      </c>
      <c r="L672">
        <f t="shared" si="40"/>
        <v>6900</v>
      </c>
      <c r="M672">
        <f t="shared" si="41"/>
        <v>30</v>
      </c>
      <c r="N672">
        <f t="shared" si="42"/>
        <v>460</v>
      </c>
      <c r="O672" s="5">
        <f t="shared" si="43"/>
        <v>6435</v>
      </c>
    </row>
    <row r="673" spans="1:15" x14ac:dyDescent="0.3">
      <c r="A673" t="s">
        <v>701</v>
      </c>
      <c r="B673" s="3">
        <v>46112</v>
      </c>
      <c r="C673" t="s">
        <v>645</v>
      </c>
      <c r="D673" t="s">
        <v>24</v>
      </c>
      <c r="E673">
        <v>22</v>
      </c>
      <c r="F673">
        <v>300</v>
      </c>
      <c r="G673">
        <v>0.2</v>
      </c>
      <c r="H673">
        <v>5</v>
      </c>
      <c r="I673" t="s">
        <v>646</v>
      </c>
      <c r="J673" t="s">
        <v>647</v>
      </c>
      <c r="K673">
        <v>20</v>
      </c>
      <c r="L673">
        <f t="shared" si="40"/>
        <v>6600</v>
      </c>
      <c r="M673">
        <f t="shared" si="41"/>
        <v>60</v>
      </c>
      <c r="N673">
        <f t="shared" si="42"/>
        <v>440</v>
      </c>
      <c r="O673" s="5">
        <f t="shared" si="43"/>
        <v>6155</v>
      </c>
    </row>
    <row r="674" spans="1:15" x14ac:dyDescent="0.3">
      <c r="A674" t="s">
        <v>702</v>
      </c>
      <c r="B674" s="3">
        <v>46114</v>
      </c>
      <c r="C674" t="s">
        <v>645</v>
      </c>
      <c r="D674" t="s">
        <v>34</v>
      </c>
      <c r="E674">
        <v>7</v>
      </c>
      <c r="F674">
        <v>300</v>
      </c>
      <c r="G674">
        <v>0.2</v>
      </c>
      <c r="H674">
        <v>20</v>
      </c>
      <c r="I674" t="s">
        <v>646</v>
      </c>
      <c r="J674" t="s">
        <v>647</v>
      </c>
      <c r="K674">
        <v>20</v>
      </c>
      <c r="L674">
        <f t="shared" si="40"/>
        <v>2100</v>
      </c>
      <c r="M674">
        <f t="shared" si="41"/>
        <v>60</v>
      </c>
      <c r="N674">
        <f t="shared" si="42"/>
        <v>140</v>
      </c>
      <c r="O674" s="5">
        <f t="shared" si="43"/>
        <v>1940</v>
      </c>
    </row>
    <row r="675" spans="1:15" x14ac:dyDescent="0.3">
      <c r="A675" t="s">
        <v>703</v>
      </c>
      <c r="B675" s="3">
        <v>46240</v>
      </c>
      <c r="C675" t="s">
        <v>645</v>
      </c>
      <c r="D675" t="s">
        <v>24</v>
      </c>
      <c r="E675">
        <v>20</v>
      </c>
      <c r="F675">
        <v>300</v>
      </c>
      <c r="G675">
        <v>0.2</v>
      </c>
      <c r="H675">
        <v>5</v>
      </c>
      <c r="I675" t="s">
        <v>646</v>
      </c>
      <c r="J675" t="s">
        <v>647</v>
      </c>
      <c r="K675">
        <v>20</v>
      </c>
      <c r="L675">
        <f t="shared" si="40"/>
        <v>6000</v>
      </c>
      <c r="M675">
        <f t="shared" si="41"/>
        <v>60</v>
      </c>
      <c r="N675">
        <f t="shared" si="42"/>
        <v>400</v>
      </c>
      <c r="O675" s="5">
        <f t="shared" si="43"/>
        <v>5595</v>
      </c>
    </row>
    <row r="676" spans="1:15" x14ac:dyDescent="0.3">
      <c r="A676" t="s">
        <v>704</v>
      </c>
      <c r="B676" s="3">
        <v>46072</v>
      </c>
      <c r="C676" t="s">
        <v>645</v>
      </c>
      <c r="D676" t="s">
        <v>22</v>
      </c>
      <c r="E676">
        <v>7</v>
      </c>
      <c r="F676">
        <v>300</v>
      </c>
      <c r="G676">
        <v>0.2</v>
      </c>
      <c r="H676">
        <v>20</v>
      </c>
      <c r="I676" t="s">
        <v>646</v>
      </c>
      <c r="J676" t="s">
        <v>647</v>
      </c>
      <c r="K676">
        <v>20</v>
      </c>
      <c r="L676">
        <f t="shared" si="40"/>
        <v>2100</v>
      </c>
      <c r="M676">
        <f t="shared" si="41"/>
        <v>60</v>
      </c>
      <c r="N676">
        <f t="shared" si="42"/>
        <v>140</v>
      </c>
      <c r="O676" s="5">
        <f t="shared" si="43"/>
        <v>1940</v>
      </c>
    </row>
    <row r="677" spans="1:15" x14ac:dyDescent="0.3">
      <c r="A677" t="s">
        <v>705</v>
      </c>
      <c r="B677" s="3">
        <v>46121</v>
      </c>
      <c r="C677" t="s">
        <v>645</v>
      </c>
      <c r="D677" t="s">
        <v>17</v>
      </c>
      <c r="E677">
        <v>25</v>
      </c>
      <c r="F677">
        <v>300</v>
      </c>
      <c r="G677">
        <v>0</v>
      </c>
      <c r="H677">
        <v>5</v>
      </c>
      <c r="I677" t="s">
        <v>646</v>
      </c>
      <c r="J677" t="s">
        <v>647</v>
      </c>
      <c r="K677">
        <v>20</v>
      </c>
      <c r="L677">
        <f t="shared" si="40"/>
        <v>7500</v>
      </c>
      <c r="M677">
        <f t="shared" si="41"/>
        <v>0</v>
      </c>
      <c r="N677">
        <f t="shared" si="42"/>
        <v>500</v>
      </c>
      <c r="O677" s="5">
        <f t="shared" si="43"/>
        <v>6995</v>
      </c>
    </row>
    <row r="678" spans="1:15" x14ac:dyDescent="0.3">
      <c r="A678" t="s">
        <v>706</v>
      </c>
      <c r="B678" s="3">
        <v>46217</v>
      </c>
      <c r="C678" t="s">
        <v>645</v>
      </c>
      <c r="D678" t="s">
        <v>17</v>
      </c>
      <c r="E678">
        <v>23</v>
      </c>
      <c r="F678">
        <v>300</v>
      </c>
      <c r="G678">
        <v>0.1</v>
      </c>
      <c r="H678">
        <v>20</v>
      </c>
      <c r="I678" t="s">
        <v>646</v>
      </c>
      <c r="J678" t="s">
        <v>647</v>
      </c>
      <c r="K678">
        <v>20</v>
      </c>
      <c r="L678">
        <f t="shared" si="40"/>
        <v>6900</v>
      </c>
      <c r="M678">
        <f t="shared" si="41"/>
        <v>30</v>
      </c>
      <c r="N678">
        <f t="shared" si="42"/>
        <v>460</v>
      </c>
      <c r="O678" s="5">
        <f t="shared" si="43"/>
        <v>6420</v>
      </c>
    </row>
    <row r="679" spans="1:15" x14ac:dyDescent="0.3">
      <c r="A679" t="s">
        <v>707</v>
      </c>
      <c r="B679" s="3">
        <v>46327</v>
      </c>
      <c r="C679" t="s">
        <v>645</v>
      </c>
      <c r="D679" t="s">
        <v>34</v>
      </c>
      <c r="E679">
        <v>4</v>
      </c>
      <c r="F679">
        <v>300</v>
      </c>
      <c r="G679">
        <v>0.35</v>
      </c>
      <c r="H679">
        <v>10</v>
      </c>
      <c r="I679" t="s">
        <v>646</v>
      </c>
      <c r="J679" t="s">
        <v>647</v>
      </c>
      <c r="K679">
        <v>20</v>
      </c>
      <c r="L679">
        <f t="shared" si="40"/>
        <v>1200</v>
      </c>
      <c r="M679">
        <f t="shared" si="41"/>
        <v>105</v>
      </c>
      <c r="N679">
        <f t="shared" si="42"/>
        <v>80</v>
      </c>
      <c r="O679" s="5">
        <f t="shared" si="43"/>
        <v>1110</v>
      </c>
    </row>
    <row r="680" spans="1:15" x14ac:dyDescent="0.3">
      <c r="A680" t="s">
        <v>708</v>
      </c>
      <c r="B680" s="3">
        <v>46297</v>
      </c>
      <c r="C680" t="s">
        <v>645</v>
      </c>
      <c r="D680" t="s">
        <v>17</v>
      </c>
      <c r="E680">
        <v>16</v>
      </c>
      <c r="F680">
        <v>300</v>
      </c>
      <c r="G680">
        <v>0.35</v>
      </c>
      <c r="H680">
        <v>5</v>
      </c>
      <c r="I680" t="s">
        <v>646</v>
      </c>
      <c r="J680" t="s">
        <v>647</v>
      </c>
      <c r="K680">
        <v>20</v>
      </c>
      <c r="L680">
        <f t="shared" si="40"/>
        <v>4800</v>
      </c>
      <c r="M680">
        <f t="shared" si="41"/>
        <v>105</v>
      </c>
      <c r="N680">
        <f t="shared" si="42"/>
        <v>320</v>
      </c>
      <c r="O680" s="5">
        <f t="shared" si="43"/>
        <v>4475</v>
      </c>
    </row>
    <row r="681" spans="1:15" x14ac:dyDescent="0.3">
      <c r="A681" t="s">
        <v>709</v>
      </c>
      <c r="B681" s="3">
        <v>46261</v>
      </c>
      <c r="C681" t="s">
        <v>645</v>
      </c>
      <c r="D681" t="s">
        <v>22</v>
      </c>
      <c r="E681">
        <v>15</v>
      </c>
      <c r="F681">
        <v>300</v>
      </c>
      <c r="G681">
        <v>0.2</v>
      </c>
      <c r="H681">
        <v>20</v>
      </c>
      <c r="I681" t="s">
        <v>646</v>
      </c>
      <c r="J681" t="s">
        <v>647</v>
      </c>
      <c r="K681">
        <v>20</v>
      </c>
      <c r="L681">
        <f t="shared" si="40"/>
        <v>4500</v>
      </c>
      <c r="M681">
        <f t="shared" si="41"/>
        <v>60</v>
      </c>
      <c r="N681">
        <f t="shared" si="42"/>
        <v>300</v>
      </c>
      <c r="O681" s="5">
        <f t="shared" si="43"/>
        <v>4180</v>
      </c>
    </row>
    <row r="682" spans="1:15" x14ac:dyDescent="0.3">
      <c r="A682" t="s">
        <v>710</v>
      </c>
      <c r="B682" s="3">
        <v>46171</v>
      </c>
      <c r="C682" t="s">
        <v>645</v>
      </c>
      <c r="D682" t="s">
        <v>22</v>
      </c>
      <c r="E682">
        <v>3</v>
      </c>
      <c r="F682">
        <v>300</v>
      </c>
      <c r="G682">
        <v>0.2</v>
      </c>
      <c r="H682">
        <v>5</v>
      </c>
      <c r="I682" t="s">
        <v>646</v>
      </c>
      <c r="J682" t="s">
        <v>647</v>
      </c>
      <c r="K682">
        <v>20</v>
      </c>
      <c r="L682">
        <f t="shared" si="40"/>
        <v>900</v>
      </c>
      <c r="M682">
        <f t="shared" si="41"/>
        <v>60</v>
      </c>
      <c r="N682">
        <f t="shared" si="42"/>
        <v>60</v>
      </c>
      <c r="O682" s="5">
        <f t="shared" si="43"/>
        <v>835</v>
      </c>
    </row>
    <row r="683" spans="1:15" x14ac:dyDescent="0.3">
      <c r="A683" t="s">
        <v>711</v>
      </c>
      <c r="B683" s="3">
        <v>46207</v>
      </c>
      <c r="C683" t="s">
        <v>645</v>
      </c>
      <c r="D683" t="s">
        <v>24</v>
      </c>
      <c r="E683">
        <v>4</v>
      </c>
      <c r="F683">
        <v>300</v>
      </c>
      <c r="G683">
        <v>0</v>
      </c>
      <c r="H683">
        <v>20</v>
      </c>
      <c r="I683" t="s">
        <v>646</v>
      </c>
      <c r="J683" t="s">
        <v>647</v>
      </c>
      <c r="K683">
        <v>20</v>
      </c>
      <c r="L683">
        <f t="shared" si="40"/>
        <v>1200</v>
      </c>
      <c r="M683">
        <f t="shared" si="41"/>
        <v>0</v>
      </c>
      <c r="N683">
        <f t="shared" si="42"/>
        <v>80</v>
      </c>
      <c r="O683" s="5">
        <f t="shared" si="43"/>
        <v>1100</v>
      </c>
    </row>
    <row r="684" spans="1:15" x14ac:dyDescent="0.3">
      <c r="A684" t="s">
        <v>712</v>
      </c>
      <c r="B684" s="3">
        <v>46325</v>
      </c>
      <c r="C684" t="s">
        <v>645</v>
      </c>
      <c r="D684" t="s">
        <v>22</v>
      </c>
      <c r="E684">
        <v>11</v>
      </c>
      <c r="F684">
        <v>300</v>
      </c>
      <c r="G684">
        <v>0</v>
      </c>
      <c r="H684">
        <v>20</v>
      </c>
      <c r="I684" t="s">
        <v>646</v>
      </c>
      <c r="J684" t="s">
        <v>647</v>
      </c>
      <c r="K684">
        <v>20</v>
      </c>
      <c r="L684">
        <f t="shared" si="40"/>
        <v>3300</v>
      </c>
      <c r="M684">
        <f t="shared" si="41"/>
        <v>0</v>
      </c>
      <c r="N684">
        <f t="shared" si="42"/>
        <v>220</v>
      </c>
      <c r="O684" s="5">
        <f t="shared" si="43"/>
        <v>3060</v>
      </c>
    </row>
    <row r="685" spans="1:15" x14ac:dyDescent="0.3">
      <c r="A685" t="s">
        <v>713</v>
      </c>
      <c r="B685" s="3">
        <v>46337</v>
      </c>
      <c r="C685" t="s">
        <v>645</v>
      </c>
      <c r="D685" t="s">
        <v>22</v>
      </c>
      <c r="E685">
        <v>5</v>
      </c>
      <c r="F685">
        <v>300</v>
      </c>
      <c r="G685">
        <v>0.35</v>
      </c>
      <c r="H685">
        <v>10</v>
      </c>
      <c r="I685" t="s">
        <v>646</v>
      </c>
      <c r="J685" t="s">
        <v>647</v>
      </c>
      <c r="K685">
        <v>20</v>
      </c>
      <c r="L685">
        <f t="shared" si="40"/>
        <v>1500</v>
      </c>
      <c r="M685">
        <f t="shared" si="41"/>
        <v>105</v>
      </c>
      <c r="N685">
        <f t="shared" si="42"/>
        <v>100</v>
      </c>
      <c r="O685" s="5">
        <f t="shared" si="43"/>
        <v>1390</v>
      </c>
    </row>
    <row r="686" spans="1:15" x14ac:dyDescent="0.3">
      <c r="A686" t="s">
        <v>714</v>
      </c>
      <c r="B686" s="3">
        <v>46209</v>
      </c>
      <c r="C686" t="s">
        <v>645</v>
      </c>
      <c r="D686" t="s">
        <v>22</v>
      </c>
      <c r="E686">
        <v>25</v>
      </c>
      <c r="F686">
        <v>300</v>
      </c>
      <c r="G686">
        <v>0.35</v>
      </c>
      <c r="H686">
        <v>20</v>
      </c>
      <c r="I686" t="s">
        <v>646</v>
      </c>
      <c r="J686" t="s">
        <v>647</v>
      </c>
      <c r="K686">
        <v>20</v>
      </c>
      <c r="L686">
        <f t="shared" si="40"/>
        <v>7500</v>
      </c>
      <c r="M686">
        <f t="shared" si="41"/>
        <v>105</v>
      </c>
      <c r="N686">
        <f t="shared" si="42"/>
        <v>500</v>
      </c>
      <c r="O686" s="5">
        <f t="shared" si="43"/>
        <v>6980</v>
      </c>
    </row>
    <row r="687" spans="1:15" x14ac:dyDescent="0.3">
      <c r="A687" t="s">
        <v>715</v>
      </c>
      <c r="B687" s="3">
        <v>46214</v>
      </c>
      <c r="C687" t="s">
        <v>645</v>
      </c>
      <c r="D687" t="s">
        <v>24</v>
      </c>
      <c r="E687">
        <v>3</v>
      </c>
      <c r="F687">
        <v>300</v>
      </c>
      <c r="G687">
        <v>0.2</v>
      </c>
      <c r="H687">
        <v>20</v>
      </c>
      <c r="I687" t="s">
        <v>646</v>
      </c>
      <c r="J687" t="s">
        <v>647</v>
      </c>
      <c r="K687">
        <v>20</v>
      </c>
      <c r="L687">
        <f t="shared" si="40"/>
        <v>900</v>
      </c>
      <c r="M687">
        <f t="shared" si="41"/>
        <v>60</v>
      </c>
      <c r="N687">
        <f t="shared" si="42"/>
        <v>60</v>
      </c>
      <c r="O687" s="5">
        <f t="shared" si="43"/>
        <v>820</v>
      </c>
    </row>
    <row r="688" spans="1:15" x14ac:dyDescent="0.3">
      <c r="A688" t="s">
        <v>716</v>
      </c>
      <c r="B688" s="3">
        <v>46339</v>
      </c>
      <c r="C688" t="s">
        <v>645</v>
      </c>
      <c r="D688" t="s">
        <v>22</v>
      </c>
      <c r="E688">
        <v>15</v>
      </c>
      <c r="F688">
        <v>300</v>
      </c>
      <c r="G688">
        <v>0.35</v>
      </c>
      <c r="H688">
        <v>10</v>
      </c>
      <c r="I688" t="s">
        <v>646</v>
      </c>
      <c r="J688" t="s">
        <v>647</v>
      </c>
      <c r="K688">
        <v>20</v>
      </c>
      <c r="L688">
        <f t="shared" si="40"/>
        <v>4500</v>
      </c>
      <c r="M688">
        <f t="shared" si="41"/>
        <v>105</v>
      </c>
      <c r="N688">
        <f t="shared" si="42"/>
        <v>300</v>
      </c>
      <c r="O688" s="5">
        <f t="shared" si="43"/>
        <v>4190</v>
      </c>
    </row>
    <row r="689" spans="1:15" x14ac:dyDescent="0.3">
      <c r="A689" t="s">
        <v>717</v>
      </c>
      <c r="B689" s="3">
        <v>46361</v>
      </c>
      <c r="C689" t="s">
        <v>645</v>
      </c>
      <c r="D689" t="s">
        <v>34</v>
      </c>
      <c r="E689">
        <v>23</v>
      </c>
      <c r="F689">
        <v>300</v>
      </c>
      <c r="G689">
        <v>0.2</v>
      </c>
      <c r="H689">
        <v>15</v>
      </c>
      <c r="I689" t="s">
        <v>646</v>
      </c>
      <c r="J689" t="s">
        <v>647</v>
      </c>
      <c r="K689">
        <v>20</v>
      </c>
      <c r="L689">
        <f t="shared" si="40"/>
        <v>6900</v>
      </c>
      <c r="M689">
        <f t="shared" si="41"/>
        <v>60</v>
      </c>
      <c r="N689">
        <f t="shared" si="42"/>
        <v>460</v>
      </c>
      <c r="O689" s="5">
        <f t="shared" si="43"/>
        <v>6425</v>
      </c>
    </row>
    <row r="690" spans="1:15" x14ac:dyDescent="0.3">
      <c r="A690" t="s">
        <v>718</v>
      </c>
      <c r="B690" s="3">
        <v>46301</v>
      </c>
      <c r="C690" t="s">
        <v>645</v>
      </c>
      <c r="D690" t="s">
        <v>24</v>
      </c>
      <c r="E690">
        <v>20</v>
      </c>
      <c r="F690">
        <v>300</v>
      </c>
      <c r="G690">
        <v>0</v>
      </c>
      <c r="H690">
        <v>5</v>
      </c>
      <c r="I690" t="s">
        <v>646</v>
      </c>
      <c r="J690" t="s">
        <v>647</v>
      </c>
      <c r="K690">
        <v>20</v>
      </c>
      <c r="L690">
        <f t="shared" si="40"/>
        <v>6000</v>
      </c>
      <c r="M690">
        <f t="shared" si="41"/>
        <v>0</v>
      </c>
      <c r="N690">
        <f t="shared" si="42"/>
        <v>400</v>
      </c>
      <c r="O690" s="5">
        <f t="shared" si="43"/>
        <v>5595</v>
      </c>
    </row>
    <row r="691" spans="1:15" x14ac:dyDescent="0.3">
      <c r="A691" t="s">
        <v>719</v>
      </c>
      <c r="B691" s="3">
        <v>46111</v>
      </c>
      <c r="C691" t="s">
        <v>645</v>
      </c>
      <c r="D691" t="s">
        <v>22</v>
      </c>
      <c r="E691">
        <v>4</v>
      </c>
      <c r="F691">
        <v>300</v>
      </c>
      <c r="G691">
        <v>0</v>
      </c>
      <c r="H691">
        <v>15</v>
      </c>
      <c r="I691" t="s">
        <v>646</v>
      </c>
      <c r="J691" t="s">
        <v>647</v>
      </c>
      <c r="K691">
        <v>20</v>
      </c>
      <c r="L691">
        <f t="shared" si="40"/>
        <v>1200</v>
      </c>
      <c r="M691">
        <f t="shared" si="41"/>
        <v>0</v>
      </c>
      <c r="N691">
        <f t="shared" si="42"/>
        <v>80</v>
      </c>
      <c r="O691" s="5">
        <f t="shared" si="43"/>
        <v>1105</v>
      </c>
    </row>
    <row r="692" spans="1:15" x14ac:dyDescent="0.3">
      <c r="A692" t="s">
        <v>720</v>
      </c>
      <c r="B692" s="3">
        <v>46359</v>
      </c>
      <c r="C692" t="s">
        <v>645</v>
      </c>
      <c r="D692" t="s">
        <v>24</v>
      </c>
      <c r="E692">
        <v>24</v>
      </c>
      <c r="F692">
        <v>300</v>
      </c>
      <c r="G692">
        <v>0.35</v>
      </c>
      <c r="H692">
        <v>5</v>
      </c>
      <c r="I692" t="s">
        <v>646</v>
      </c>
      <c r="J692" t="s">
        <v>647</v>
      </c>
      <c r="K692">
        <v>20</v>
      </c>
      <c r="L692">
        <f t="shared" si="40"/>
        <v>7200</v>
      </c>
      <c r="M692">
        <f t="shared" si="41"/>
        <v>105</v>
      </c>
      <c r="N692">
        <f t="shared" si="42"/>
        <v>480</v>
      </c>
      <c r="O692" s="5">
        <f t="shared" si="43"/>
        <v>6715</v>
      </c>
    </row>
    <row r="693" spans="1:15" x14ac:dyDescent="0.3">
      <c r="A693" t="s">
        <v>721</v>
      </c>
      <c r="B693" s="3">
        <v>46319</v>
      </c>
      <c r="C693" t="s">
        <v>645</v>
      </c>
      <c r="D693" t="s">
        <v>34</v>
      </c>
      <c r="E693">
        <v>15</v>
      </c>
      <c r="F693">
        <v>300</v>
      </c>
      <c r="G693">
        <v>0.35</v>
      </c>
      <c r="H693">
        <v>5</v>
      </c>
      <c r="I693" t="s">
        <v>646</v>
      </c>
      <c r="J693" t="s">
        <v>647</v>
      </c>
      <c r="K693">
        <v>20</v>
      </c>
      <c r="L693">
        <f t="shared" si="40"/>
        <v>4500</v>
      </c>
      <c r="M693">
        <f t="shared" si="41"/>
        <v>105</v>
      </c>
      <c r="N693">
        <f t="shared" si="42"/>
        <v>300</v>
      </c>
      <c r="O693" s="5">
        <f t="shared" si="43"/>
        <v>4195</v>
      </c>
    </row>
    <row r="694" spans="1:15" x14ac:dyDescent="0.3">
      <c r="A694" t="s">
        <v>722</v>
      </c>
      <c r="B694" s="3">
        <v>46082</v>
      </c>
      <c r="C694" t="s">
        <v>645</v>
      </c>
      <c r="D694" t="s">
        <v>24</v>
      </c>
      <c r="E694">
        <v>21</v>
      </c>
      <c r="F694">
        <v>300</v>
      </c>
      <c r="G694">
        <v>0.35</v>
      </c>
      <c r="H694">
        <v>15</v>
      </c>
      <c r="I694" t="s">
        <v>646</v>
      </c>
      <c r="J694" t="s">
        <v>647</v>
      </c>
      <c r="K694">
        <v>20</v>
      </c>
      <c r="L694">
        <f t="shared" si="40"/>
        <v>6300</v>
      </c>
      <c r="M694">
        <f t="shared" si="41"/>
        <v>105</v>
      </c>
      <c r="N694">
        <f t="shared" si="42"/>
        <v>420</v>
      </c>
      <c r="O694" s="5">
        <f t="shared" si="43"/>
        <v>5865</v>
      </c>
    </row>
    <row r="695" spans="1:15" x14ac:dyDescent="0.3">
      <c r="A695" t="s">
        <v>723</v>
      </c>
      <c r="B695" s="3">
        <v>46280</v>
      </c>
      <c r="C695" t="s">
        <v>645</v>
      </c>
      <c r="D695" t="s">
        <v>24</v>
      </c>
      <c r="E695">
        <v>9</v>
      </c>
      <c r="F695">
        <v>300</v>
      </c>
      <c r="G695">
        <v>0.1</v>
      </c>
      <c r="H695">
        <v>10</v>
      </c>
      <c r="I695" t="s">
        <v>646</v>
      </c>
      <c r="J695" t="s">
        <v>647</v>
      </c>
      <c r="K695">
        <v>20</v>
      </c>
      <c r="L695">
        <f t="shared" si="40"/>
        <v>2700</v>
      </c>
      <c r="M695">
        <f t="shared" si="41"/>
        <v>30</v>
      </c>
      <c r="N695">
        <f t="shared" si="42"/>
        <v>180</v>
      </c>
      <c r="O695" s="5">
        <f t="shared" si="43"/>
        <v>2510</v>
      </c>
    </row>
    <row r="696" spans="1:15" x14ac:dyDescent="0.3">
      <c r="A696" t="s">
        <v>724</v>
      </c>
      <c r="B696" s="3">
        <v>46074</v>
      </c>
      <c r="C696" t="s">
        <v>645</v>
      </c>
      <c r="D696" t="s">
        <v>34</v>
      </c>
      <c r="E696">
        <v>15</v>
      </c>
      <c r="F696">
        <v>300</v>
      </c>
      <c r="G696">
        <v>0</v>
      </c>
      <c r="H696">
        <v>15</v>
      </c>
      <c r="I696" t="s">
        <v>646</v>
      </c>
      <c r="J696" t="s">
        <v>647</v>
      </c>
      <c r="K696">
        <v>20</v>
      </c>
      <c r="L696">
        <f t="shared" si="40"/>
        <v>4500</v>
      </c>
      <c r="M696">
        <f t="shared" si="41"/>
        <v>0</v>
      </c>
      <c r="N696">
        <f t="shared" si="42"/>
        <v>300</v>
      </c>
      <c r="O696" s="5">
        <f t="shared" si="43"/>
        <v>4185</v>
      </c>
    </row>
    <row r="697" spans="1:15" x14ac:dyDescent="0.3">
      <c r="A697" t="s">
        <v>725</v>
      </c>
      <c r="B697" s="3">
        <v>46134</v>
      </c>
      <c r="C697" t="s">
        <v>645</v>
      </c>
      <c r="D697" t="s">
        <v>24</v>
      </c>
      <c r="E697">
        <v>22</v>
      </c>
      <c r="F697">
        <v>300</v>
      </c>
      <c r="G697">
        <v>0.2</v>
      </c>
      <c r="H697">
        <v>10</v>
      </c>
      <c r="I697" t="s">
        <v>646</v>
      </c>
      <c r="J697" t="s">
        <v>647</v>
      </c>
      <c r="K697">
        <v>20</v>
      </c>
      <c r="L697">
        <f t="shared" si="40"/>
        <v>6600</v>
      </c>
      <c r="M697">
        <f t="shared" si="41"/>
        <v>60</v>
      </c>
      <c r="N697">
        <f t="shared" si="42"/>
        <v>440</v>
      </c>
      <c r="O697" s="5">
        <f t="shared" si="43"/>
        <v>6150</v>
      </c>
    </row>
    <row r="698" spans="1:15" x14ac:dyDescent="0.3">
      <c r="A698" t="s">
        <v>726</v>
      </c>
      <c r="B698" s="3">
        <v>46347</v>
      </c>
      <c r="C698" t="s">
        <v>645</v>
      </c>
      <c r="D698" t="s">
        <v>24</v>
      </c>
      <c r="E698">
        <v>23</v>
      </c>
      <c r="F698">
        <v>300</v>
      </c>
      <c r="G698">
        <v>0.2</v>
      </c>
      <c r="H698">
        <v>10</v>
      </c>
      <c r="I698" t="s">
        <v>646</v>
      </c>
      <c r="J698" t="s">
        <v>647</v>
      </c>
      <c r="K698">
        <v>20</v>
      </c>
      <c r="L698">
        <f t="shared" si="40"/>
        <v>6900</v>
      </c>
      <c r="M698">
        <f t="shared" si="41"/>
        <v>60</v>
      </c>
      <c r="N698">
        <f t="shared" si="42"/>
        <v>460</v>
      </c>
      <c r="O698" s="5">
        <f t="shared" si="43"/>
        <v>6430</v>
      </c>
    </row>
    <row r="699" spans="1:15" x14ac:dyDescent="0.3">
      <c r="A699" t="s">
        <v>727</v>
      </c>
      <c r="B699" s="3">
        <v>46093</v>
      </c>
      <c r="C699" t="s">
        <v>645</v>
      </c>
      <c r="D699" t="s">
        <v>17</v>
      </c>
      <c r="E699">
        <v>7</v>
      </c>
      <c r="F699">
        <v>300</v>
      </c>
      <c r="G699">
        <v>0.35</v>
      </c>
      <c r="H699">
        <v>20</v>
      </c>
      <c r="I699" t="s">
        <v>646</v>
      </c>
      <c r="J699" t="s">
        <v>647</v>
      </c>
      <c r="K699">
        <v>20</v>
      </c>
      <c r="L699">
        <f t="shared" si="40"/>
        <v>2100</v>
      </c>
      <c r="M699">
        <f t="shared" si="41"/>
        <v>105</v>
      </c>
      <c r="N699">
        <f t="shared" si="42"/>
        <v>140</v>
      </c>
      <c r="O699" s="5">
        <f t="shared" si="43"/>
        <v>1940</v>
      </c>
    </row>
    <row r="700" spans="1:15" x14ac:dyDescent="0.3">
      <c r="A700" t="s">
        <v>728</v>
      </c>
      <c r="B700" s="3">
        <v>46365</v>
      </c>
      <c r="C700" t="s">
        <v>645</v>
      </c>
      <c r="D700" t="s">
        <v>22</v>
      </c>
      <c r="E700">
        <v>9</v>
      </c>
      <c r="F700">
        <v>300</v>
      </c>
      <c r="G700">
        <v>0.35</v>
      </c>
      <c r="H700">
        <v>5</v>
      </c>
      <c r="I700" t="s">
        <v>646</v>
      </c>
      <c r="J700" t="s">
        <v>647</v>
      </c>
      <c r="K700">
        <v>20</v>
      </c>
      <c r="L700">
        <f t="shared" si="40"/>
        <v>2700</v>
      </c>
      <c r="M700">
        <f t="shared" si="41"/>
        <v>105</v>
      </c>
      <c r="N700">
        <f t="shared" si="42"/>
        <v>180</v>
      </c>
      <c r="O700" s="5">
        <f t="shared" si="43"/>
        <v>2515</v>
      </c>
    </row>
    <row r="701" spans="1:15" x14ac:dyDescent="0.3">
      <c r="A701" t="s">
        <v>729</v>
      </c>
      <c r="B701" s="3">
        <v>46352</v>
      </c>
      <c r="C701" t="s">
        <v>645</v>
      </c>
      <c r="D701" t="s">
        <v>34</v>
      </c>
      <c r="E701">
        <v>2</v>
      </c>
      <c r="F701">
        <v>300</v>
      </c>
      <c r="G701">
        <v>0.1</v>
      </c>
      <c r="H701">
        <v>5</v>
      </c>
      <c r="I701" t="s">
        <v>646</v>
      </c>
      <c r="J701" t="s">
        <v>647</v>
      </c>
      <c r="K701">
        <v>20</v>
      </c>
      <c r="L701">
        <f t="shared" si="40"/>
        <v>600</v>
      </c>
      <c r="M701">
        <f t="shared" si="41"/>
        <v>30</v>
      </c>
      <c r="N701">
        <f t="shared" si="42"/>
        <v>40</v>
      </c>
      <c r="O701" s="5">
        <f t="shared" si="43"/>
        <v>555</v>
      </c>
    </row>
    <row r="702" spans="1:15" x14ac:dyDescent="0.3">
      <c r="A702" t="s">
        <v>730</v>
      </c>
      <c r="B702" s="3">
        <v>46269</v>
      </c>
      <c r="C702" t="s">
        <v>645</v>
      </c>
      <c r="D702" t="s">
        <v>24</v>
      </c>
      <c r="E702">
        <v>10</v>
      </c>
      <c r="F702">
        <v>300</v>
      </c>
      <c r="G702">
        <v>0</v>
      </c>
      <c r="H702">
        <v>5</v>
      </c>
      <c r="I702" t="s">
        <v>646</v>
      </c>
      <c r="J702" t="s">
        <v>647</v>
      </c>
      <c r="K702">
        <v>20</v>
      </c>
      <c r="L702">
        <f t="shared" si="40"/>
        <v>3000</v>
      </c>
      <c r="M702">
        <f t="shared" si="41"/>
        <v>0</v>
      </c>
      <c r="N702">
        <f t="shared" si="42"/>
        <v>200</v>
      </c>
      <c r="O702" s="5">
        <f t="shared" si="43"/>
        <v>2795</v>
      </c>
    </row>
    <row r="703" spans="1:15" x14ac:dyDescent="0.3">
      <c r="A703" t="s">
        <v>731</v>
      </c>
      <c r="B703" s="3">
        <v>46193</v>
      </c>
      <c r="C703" t="s">
        <v>645</v>
      </c>
      <c r="D703" t="s">
        <v>24</v>
      </c>
      <c r="E703">
        <v>2</v>
      </c>
      <c r="F703">
        <v>300</v>
      </c>
      <c r="G703">
        <v>0.2</v>
      </c>
      <c r="H703">
        <v>20</v>
      </c>
      <c r="I703" t="s">
        <v>646</v>
      </c>
      <c r="J703" t="s">
        <v>647</v>
      </c>
      <c r="K703">
        <v>20</v>
      </c>
      <c r="L703">
        <f t="shared" si="40"/>
        <v>600</v>
      </c>
      <c r="M703">
        <f t="shared" si="41"/>
        <v>60</v>
      </c>
      <c r="N703">
        <f t="shared" si="42"/>
        <v>40</v>
      </c>
      <c r="O703" s="5">
        <f t="shared" si="43"/>
        <v>540</v>
      </c>
    </row>
    <row r="704" spans="1:15" x14ac:dyDescent="0.3">
      <c r="A704" t="s">
        <v>732</v>
      </c>
      <c r="B704" s="3">
        <v>46178</v>
      </c>
      <c r="C704" t="s">
        <v>645</v>
      </c>
      <c r="D704" t="s">
        <v>17</v>
      </c>
      <c r="E704">
        <v>14</v>
      </c>
      <c r="F704">
        <v>300</v>
      </c>
      <c r="G704">
        <v>0.1</v>
      </c>
      <c r="H704">
        <v>10</v>
      </c>
      <c r="I704" t="s">
        <v>646</v>
      </c>
      <c r="J704" t="s">
        <v>647</v>
      </c>
      <c r="K704">
        <v>20</v>
      </c>
      <c r="L704">
        <f t="shared" si="40"/>
        <v>4200</v>
      </c>
      <c r="M704">
        <f t="shared" si="41"/>
        <v>30</v>
      </c>
      <c r="N704">
        <f t="shared" si="42"/>
        <v>280</v>
      </c>
      <c r="O704" s="5">
        <f t="shared" si="43"/>
        <v>3910</v>
      </c>
    </row>
    <row r="705" spans="1:15" x14ac:dyDescent="0.3">
      <c r="A705" t="s">
        <v>733</v>
      </c>
      <c r="B705" s="3">
        <v>46135</v>
      </c>
      <c r="C705" t="s">
        <v>645</v>
      </c>
      <c r="D705" t="s">
        <v>22</v>
      </c>
      <c r="E705">
        <v>15</v>
      </c>
      <c r="F705">
        <v>300</v>
      </c>
      <c r="G705">
        <v>0</v>
      </c>
      <c r="H705">
        <v>20</v>
      </c>
      <c r="I705" t="s">
        <v>646</v>
      </c>
      <c r="J705" t="s">
        <v>647</v>
      </c>
      <c r="K705">
        <v>20</v>
      </c>
      <c r="L705">
        <f t="shared" si="40"/>
        <v>4500</v>
      </c>
      <c r="M705">
        <f t="shared" si="41"/>
        <v>0</v>
      </c>
      <c r="N705">
        <f t="shared" si="42"/>
        <v>300</v>
      </c>
      <c r="O705" s="5">
        <f t="shared" si="43"/>
        <v>4180</v>
      </c>
    </row>
    <row r="706" spans="1:15" x14ac:dyDescent="0.3">
      <c r="A706" t="s">
        <v>734</v>
      </c>
      <c r="B706" s="3">
        <v>46083</v>
      </c>
      <c r="C706" t="s">
        <v>645</v>
      </c>
      <c r="D706" t="s">
        <v>22</v>
      </c>
      <c r="E706">
        <v>20</v>
      </c>
      <c r="F706">
        <v>300</v>
      </c>
      <c r="G706">
        <v>0.35</v>
      </c>
      <c r="H706">
        <v>5</v>
      </c>
      <c r="I706" t="s">
        <v>646</v>
      </c>
      <c r="J706" t="s">
        <v>647</v>
      </c>
      <c r="K706">
        <v>20</v>
      </c>
      <c r="L706">
        <f t="shared" ref="L706:L769" si="44">E706*F706</f>
        <v>6000</v>
      </c>
      <c r="M706">
        <f t="shared" ref="M706:M769" si="45">F706*G706</f>
        <v>105</v>
      </c>
      <c r="N706">
        <f t="shared" ref="N706:N769" si="46">E706*K706</f>
        <v>400</v>
      </c>
      <c r="O706" s="5">
        <f t="shared" ref="O706:O769" si="47">L706-H706-N706</f>
        <v>5595</v>
      </c>
    </row>
    <row r="707" spans="1:15" x14ac:dyDescent="0.3">
      <c r="A707" t="s">
        <v>735</v>
      </c>
      <c r="B707" s="3">
        <v>46031</v>
      </c>
      <c r="C707" t="s">
        <v>645</v>
      </c>
      <c r="D707" t="s">
        <v>17</v>
      </c>
      <c r="E707">
        <v>24</v>
      </c>
      <c r="F707">
        <v>300</v>
      </c>
      <c r="G707">
        <v>0</v>
      </c>
      <c r="H707">
        <v>20</v>
      </c>
      <c r="I707" t="s">
        <v>646</v>
      </c>
      <c r="J707" t="s">
        <v>647</v>
      </c>
      <c r="K707">
        <v>20</v>
      </c>
      <c r="L707">
        <f t="shared" si="44"/>
        <v>7200</v>
      </c>
      <c r="M707">
        <f t="shared" si="45"/>
        <v>0</v>
      </c>
      <c r="N707">
        <f t="shared" si="46"/>
        <v>480</v>
      </c>
      <c r="O707" s="5">
        <f t="shared" si="47"/>
        <v>6700</v>
      </c>
    </row>
    <row r="708" spans="1:15" x14ac:dyDescent="0.3">
      <c r="A708" t="s">
        <v>736</v>
      </c>
      <c r="B708" s="3">
        <v>46127</v>
      </c>
      <c r="C708" t="s">
        <v>645</v>
      </c>
      <c r="D708" t="s">
        <v>17</v>
      </c>
      <c r="E708">
        <v>19</v>
      </c>
      <c r="F708">
        <v>300</v>
      </c>
      <c r="G708">
        <v>0.1</v>
      </c>
      <c r="H708">
        <v>10</v>
      </c>
      <c r="I708" t="s">
        <v>646</v>
      </c>
      <c r="J708" t="s">
        <v>647</v>
      </c>
      <c r="K708">
        <v>20</v>
      </c>
      <c r="L708">
        <f t="shared" si="44"/>
        <v>5700</v>
      </c>
      <c r="M708">
        <f t="shared" si="45"/>
        <v>30</v>
      </c>
      <c r="N708">
        <f t="shared" si="46"/>
        <v>380</v>
      </c>
      <c r="O708" s="5">
        <f t="shared" si="47"/>
        <v>5310</v>
      </c>
    </row>
    <row r="709" spans="1:15" x14ac:dyDescent="0.3">
      <c r="A709" t="s">
        <v>737</v>
      </c>
      <c r="B709" s="3">
        <v>46033</v>
      </c>
      <c r="C709" t="s">
        <v>645</v>
      </c>
      <c r="D709" t="s">
        <v>34</v>
      </c>
      <c r="E709">
        <v>24</v>
      </c>
      <c r="F709">
        <v>300</v>
      </c>
      <c r="G709">
        <v>0</v>
      </c>
      <c r="H709">
        <v>10</v>
      </c>
      <c r="I709" t="s">
        <v>646</v>
      </c>
      <c r="J709" t="s">
        <v>647</v>
      </c>
      <c r="K709">
        <v>20</v>
      </c>
      <c r="L709">
        <f t="shared" si="44"/>
        <v>7200</v>
      </c>
      <c r="M709">
        <f t="shared" si="45"/>
        <v>0</v>
      </c>
      <c r="N709">
        <f t="shared" si="46"/>
        <v>480</v>
      </c>
      <c r="O709" s="5">
        <f t="shared" si="47"/>
        <v>6710</v>
      </c>
    </row>
    <row r="710" spans="1:15" x14ac:dyDescent="0.3">
      <c r="A710" t="s">
        <v>738</v>
      </c>
      <c r="B710" s="3">
        <v>46363</v>
      </c>
      <c r="C710" t="s">
        <v>645</v>
      </c>
      <c r="D710" t="s">
        <v>24</v>
      </c>
      <c r="E710">
        <v>23</v>
      </c>
      <c r="F710">
        <v>300</v>
      </c>
      <c r="G710">
        <v>0</v>
      </c>
      <c r="H710">
        <v>10</v>
      </c>
      <c r="I710" t="s">
        <v>646</v>
      </c>
      <c r="J710" t="s">
        <v>647</v>
      </c>
      <c r="K710">
        <v>20</v>
      </c>
      <c r="L710">
        <f t="shared" si="44"/>
        <v>6900</v>
      </c>
      <c r="M710">
        <f t="shared" si="45"/>
        <v>0</v>
      </c>
      <c r="N710">
        <f t="shared" si="46"/>
        <v>460</v>
      </c>
      <c r="O710" s="5">
        <f t="shared" si="47"/>
        <v>6430</v>
      </c>
    </row>
    <row r="711" spans="1:15" x14ac:dyDescent="0.3">
      <c r="A711" t="s">
        <v>739</v>
      </c>
      <c r="B711" s="3">
        <v>46382</v>
      </c>
      <c r="C711" t="s">
        <v>645</v>
      </c>
      <c r="D711" t="s">
        <v>22</v>
      </c>
      <c r="E711">
        <v>1</v>
      </c>
      <c r="F711">
        <v>300</v>
      </c>
      <c r="G711">
        <v>0</v>
      </c>
      <c r="H711">
        <v>10</v>
      </c>
      <c r="I711" t="s">
        <v>646</v>
      </c>
      <c r="J711" t="s">
        <v>647</v>
      </c>
      <c r="K711">
        <v>20</v>
      </c>
      <c r="L711">
        <f t="shared" si="44"/>
        <v>300</v>
      </c>
      <c r="M711">
        <f t="shared" si="45"/>
        <v>0</v>
      </c>
      <c r="N711">
        <f t="shared" si="46"/>
        <v>20</v>
      </c>
      <c r="O711" s="5">
        <f t="shared" si="47"/>
        <v>270</v>
      </c>
    </row>
    <row r="712" spans="1:15" x14ac:dyDescent="0.3">
      <c r="A712" t="s">
        <v>740</v>
      </c>
      <c r="B712" s="3">
        <v>46136</v>
      </c>
      <c r="C712" t="s">
        <v>645</v>
      </c>
      <c r="D712" t="s">
        <v>24</v>
      </c>
      <c r="E712">
        <v>9</v>
      </c>
      <c r="F712">
        <v>300</v>
      </c>
      <c r="G712">
        <v>0</v>
      </c>
      <c r="H712">
        <v>15</v>
      </c>
      <c r="I712" t="s">
        <v>646</v>
      </c>
      <c r="J712" t="s">
        <v>647</v>
      </c>
      <c r="K712">
        <v>20</v>
      </c>
      <c r="L712">
        <f t="shared" si="44"/>
        <v>2700</v>
      </c>
      <c r="M712">
        <f t="shared" si="45"/>
        <v>0</v>
      </c>
      <c r="N712">
        <f t="shared" si="46"/>
        <v>180</v>
      </c>
      <c r="O712" s="5">
        <f t="shared" si="47"/>
        <v>2505</v>
      </c>
    </row>
    <row r="713" spans="1:15" x14ac:dyDescent="0.3">
      <c r="A713" t="s">
        <v>741</v>
      </c>
      <c r="B713" s="3">
        <v>46124</v>
      </c>
      <c r="C713" t="s">
        <v>645</v>
      </c>
      <c r="D713" t="s">
        <v>24</v>
      </c>
      <c r="E713">
        <v>7</v>
      </c>
      <c r="F713">
        <v>300</v>
      </c>
      <c r="G713">
        <v>0.2</v>
      </c>
      <c r="H713">
        <v>10</v>
      </c>
      <c r="I713" t="s">
        <v>646</v>
      </c>
      <c r="J713" t="s">
        <v>647</v>
      </c>
      <c r="K713">
        <v>20</v>
      </c>
      <c r="L713">
        <f t="shared" si="44"/>
        <v>2100</v>
      </c>
      <c r="M713">
        <f t="shared" si="45"/>
        <v>60</v>
      </c>
      <c r="N713">
        <f t="shared" si="46"/>
        <v>140</v>
      </c>
      <c r="O713" s="5">
        <f t="shared" si="47"/>
        <v>1950</v>
      </c>
    </row>
    <row r="714" spans="1:15" x14ac:dyDescent="0.3">
      <c r="A714" t="s">
        <v>742</v>
      </c>
      <c r="B714" s="3">
        <v>46196</v>
      </c>
      <c r="C714" t="s">
        <v>645</v>
      </c>
      <c r="D714" t="s">
        <v>17</v>
      </c>
      <c r="E714">
        <v>21</v>
      </c>
      <c r="F714">
        <v>300</v>
      </c>
      <c r="G714">
        <v>0</v>
      </c>
      <c r="H714">
        <v>5</v>
      </c>
      <c r="I714" t="s">
        <v>646</v>
      </c>
      <c r="J714" t="s">
        <v>647</v>
      </c>
      <c r="K714">
        <v>20</v>
      </c>
      <c r="L714">
        <f t="shared" si="44"/>
        <v>6300</v>
      </c>
      <c r="M714">
        <f t="shared" si="45"/>
        <v>0</v>
      </c>
      <c r="N714">
        <f t="shared" si="46"/>
        <v>420</v>
      </c>
      <c r="O714" s="5">
        <f t="shared" si="47"/>
        <v>5875</v>
      </c>
    </row>
    <row r="715" spans="1:15" x14ac:dyDescent="0.3">
      <c r="A715" t="s">
        <v>743</v>
      </c>
      <c r="B715" s="3">
        <v>46338</v>
      </c>
      <c r="C715" t="s">
        <v>645</v>
      </c>
      <c r="D715" t="s">
        <v>24</v>
      </c>
      <c r="E715">
        <v>21</v>
      </c>
      <c r="F715">
        <v>300</v>
      </c>
      <c r="G715">
        <v>0.2</v>
      </c>
      <c r="H715">
        <v>20</v>
      </c>
      <c r="I715" t="s">
        <v>646</v>
      </c>
      <c r="J715" t="s">
        <v>647</v>
      </c>
      <c r="K715">
        <v>20</v>
      </c>
      <c r="L715">
        <f t="shared" si="44"/>
        <v>6300</v>
      </c>
      <c r="M715">
        <f t="shared" si="45"/>
        <v>60</v>
      </c>
      <c r="N715">
        <f t="shared" si="46"/>
        <v>420</v>
      </c>
      <c r="O715" s="5">
        <f t="shared" si="47"/>
        <v>5860</v>
      </c>
    </row>
    <row r="716" spans="1:15" x14ac:dyDescent="0.3">
      <c r="A716" t="s">
        <v>744</v>
      </c>
      <c r="B716" s="3">
        <v>46361</v>
      </c>
      <c r="C716" t="s">
        <v>645</v>
      </c>
      <c r="D716" t="s">
        <v>24</v>
      </c>
      <c r="E716">
        <v>17</v>
      </c>
      <c r="F716">
        <v>300</v>
      </c>
      <c r="G716">
        <v>0.35</v>
      </c>
      <c r="H716">
        <v>20</v>
      </c>
      <c r="I716" t="s">
        <v>646</v>
      </c>
      <c r="J716" t="s">
        <v>647</v>
      </c>
      <c r="K716">
        <v>20</v>
      </c>
      <c r="L716">
        <f t="shared" si="44"/>
        <v>5100</v>
      </c>
      <c r="M716">
        <f t="shared" si="45"/>
        <v>105</v>
      </c>
      <c r="N716">
        <f t="shared" si="46"/>
        <v>340</v>
      </c>
      <c r="O716" s="5">
        <f t="shared" si="47"/>
        <v>4740</v>
      </c>
    </row>
    <row r="717" spans="1:15" x14ac:dyDescent="0.3">
      <c r="A717" t="s">
        <v>745</v>
      </c>
      <c r="B717" s="3">
        <v>46053</v>
      </c>
      <c r="C717" t="s">
        <v>645</v>
      </c>
      <c r="D717" t="s">
        <v>22</v>
      </c>
      <c r="E717">
        <v>6</v>
      </c>
      <c r="F717">
        <v>300</v>
      </c>
      <c r="G717">
        <v>0</v>
      </c>
      <c r="H717">
        <v>10</v>
      </c>
      <c r="I717" t="s">
        <v>646</v>
      </c>
      <c r="J717" t="s">
        <v>647</v>
      </c>
      <c r="K717">
        <v>20</v>
      </c>
      <c r="L717">
        <f t="shared" si="44"/>
        <v>1800</v>
      </c>
      <c r="M717">
        <f t="shared" si="45"/>
        <v>0</v>
      </c>
      <c r="N717">
        <f t="shared" si="46"/>
        <v>120</v>
      </c>
      <c r="O717" s="5">
        <f t="shared" si="47"/>
        <v>1670</v>
      </c>
    </row>
    <row r="718" spans="1:15" x14ac:dyDescent="0.3">
      <c r="A718" t="s">
        <v>746</v>
      </c>
      <c r="B718" s="3">
        <v>46071</v>
      </c>
      <c r="C718" t="s">
        <v>645</v>
      </c>
      <c r="D718" t="s">
        <v>17</v>
      </c>
      <c r="E718">
        <v>23</v>
      </c>
      <c r="F718">
        <v>300</v>
      </c>
      <c r="G718">
        <v>0.1</v>
      </c>
      <c r="H718">
        <v>20</v>
      </c>
      <c r="I718" t="s">
        <v>646</v>
      </c>
      <c r="J718" t="s">
        <v>647</v>
      </c>
      <c r="K718">
        <v>20</v>
      </c>
      <c r="L718">
        <f t="shared" si="44"/>
        <v>6900</v>
      </c>
      <c r="M718">
        <f t="shared" si="45"/>
        <v>30</v>
      </c>
      <c r="N718">
        <f t="shared" si="46"/>
        <v>460</v>
      </c>
      <c r="O718" s="5">
        <f t="shared" si="47"/>
        <v>6420</v>
      </c>
    </row>
    <row r="719" spans="1:15" x14ac:dyDescent="0.3">
      <c r="A719" t="s">
        <v>747</v>
      </c>
      <c r="B719" s="3">
        <v>46209</v>
      </c>
      <c r="C719" t="s">
        <v>645</v>
      </c>
      <c r="D719" t="s">
        <v>17</v>
      </c>
      <c r="E719">
        <v>4</v>
      </c>
      <c r="F719">
        <v>300</v>
      </c>
      <c r="G719">
        <v>0</v>
      </c>
      <c r="H719">
        <v>10</v>
      </c>
      <c r="I719" t="s">
        <v>646</v>
      </c>
      <c r="J719" t="s">
        <v>647</v>
      </c>
      <c r="K719">
        <v>20</v>
      </c>
      <c r="L719">
        <f t="shared" si="44"/>
        <v>1200</v>
      </c>
      <c r="M719">
        <f t="shared" si="45"/>
        <v>0</v>
      </c>
      <c r="N719">
        <f t="shared" si="46"/>
        <v>80</v>
      </c>
      <c r="O719" s="5">
        <f t="shared" si="47"/>
        <v>1110</v>
      </c>
    </row>
    <row r="720" spans="1:15" x14ac:dyDescent="0.3">
      <c r="A720" t="s">
        <v>748</v>
      </c>
      <c r="B720" s="3">
        <v>46253</v>
      </c>
      <c r="C720" t="s">
        <v>645</v>
      </c>
      <c r="D720" t="s">
        <v>34</v>
      </c>
      <c r="E720">
        <v>23</v>
      </c>
      <c r="F720">
        <v>300</v>
      </c>
      <c r="G720">
        <v>0.2</v>
      </c>
      <c r="H720">
        <v>10</v>
      </c>
      <c r="I720" t="s">
        <v>646</v>
      </c>
      <c r="J720" t="s">
        <v>647</v>
      </c>
      <c r="K720">
        <v>20</v>
      </c>
      <c r="L720">
        <f t="shared" si="44"/>
        <v>6900</v>
      </c>
      <c r="M720">
        <f t="shared" si="45"/>
        <v>60</v>
      </c>
      <c r="N720">
        <f t="shared" si="46"/>
        <v>460</v>
      </c>
      <c r="O720" s="5">
        <f t="shared" si="47"/>
        <v>6430</v>
      </c>
    </row>
    <row r="721" spans="1:15" x14ac:dyDescent="0.3">
      <c r="A721" t="s">
        <v>749</v>
      </c>
      <c r="B721" s="3">
        <v>46270</v>
      </c>
      <c r="C721" t="s">
        <v>645</v>
      </c>
      <c r="D721" t="s">
        <v>17</v>
      </c>
      <c r="E721">
        <v>16</v>
      </c>
      <c r="F721">
        <v>300</v>
      </c>
      <c r="G721">
        <v>0</v>
      </c>
      <c r="H721">
        <v>5</v>
      </c>
      <c r="I721" t="s">
        <v>646</v>
      </c>
      <c r="J721" t="s">
        <v>647</v>
      </c>
      <c r="K721">
        <v>20</v>
      </c>
      <c r="L721">
        <f t="shared" si="44"/>
        <v>4800</v>
      </c>
      <c r="M721">
        <f t="shared" si="45"/>
        <v>0</v>
      </c>
      <c r="N721">
        <f t="shared" si="46"/>
        <v>320</v>
      </c>
      <c r="O721" s="5">
        <f t="shared" si="47"/>
        <v>4475</v>
      </c>
    </row>
    <row r="722" spans="1:15" x14ac:dyDescent="0.3">
      <c r="A722" t="s">
        <v>750</v>
      </c>
      <c r="B722" s="3">
        <v>46313</v>
      </c>
      <c r="C722" t="s">
        <v>645</v>
      </c>
      <c r="D722" t="s">
        <v>34</v>
      </c>
      <c r="E722">
        <v>1</v>
      </c>
      <c r="F722">
        <v>300</v>
      </c>
      <c r="G722">
        <v>0.1</v>
      </c>
      <c r="H722">
        <v>10</v>
      </c>
      <c r="I722" t="s">
        <v>646</v>
      </c>
      <c r="J722" t="s">
        <v>647</v>
      </c>
      <c r="K722">
        <v>20</v>
      </c>
      <c r="L722">
        <f t="shared" si="44"/>
        <v>300</v>
      </c>
      <c r="M722">
        <f t="shared" si="45"/>
        <v>30</v>
      </c>
      <c r="N722">
        <f t="shared" si="46"/>
        <v>20</v>
      </c>
      <c r="O722" s="5">
        <f t="shared" si="47"/>
        <v>270</v>
      </c>
    </row>
    <row r="723" spans="1:15" x14ac:dyDescent="0.3">
      <c r="A723" t="s">
        <v>751</v>
      </c>
      <c r="B723" s="3">
        <v>46184</v>
      </c>
      <c r="C723" t="s">
        <v>645</v>
      </c>
      <c r="D723" t="s">
        <v>22</v>
      </c>
      <c r="E723">
        <v>24</v>
      </c>
      <c r="F723">
        <v>300</v>
      </c>
      <c r="G723">
        <v>0.2</v>
      </c>
      <c r="H723">
        <v>10</v>
      </c>
      <c r="I723" t="s">
        <v>646</v>
      </c>
      <c r="J723" t="s">
        <v>647</v>
      </c>
      <c r="K723">
        <v>20</v>
      </c>
      <c r="L723">
        <f t="shared" si="44"/>
        <v>7200</v>
      </c>
      <c r="M723">
        <f t="shared" si="45"/>
        <v>60</v>
      </c>
      <c r="N723">
        <f t="shared" si="46"/>
        <v>480</v>
      </c>
      <c r="O723" s="5">
        <f t="shared" si="47"/>
        <v>6710</v>
      </c>
    </row>
    <row r="724" spans="1:15" x14ac:dyDescent="0.3">
      <c r="A724" t="s">
        <v>752</v>
      </c>
      <c r="B724" s="3">
        <v>46093</v>
      </c>
      <c r="C724" t="s">
        <v>645</v>
      </c>
      <c r="D724" t="s">
        <v>17</v>
      </c>
      <c r="E724">
        <v>18</v>
      </c>
      <c r="F724">
        <v>300</v>
      </c>
      <c r="G724">
        <v>0.35</v>
      </c>
      <c r="H724">
        <v>15</v>
      </c>
      <c r="I724" t="s">
        <v>646</v>
      </c>
      <c r="J724" t="s">
        <v>647</v>
      </c>
      <c r="K724">
        <v>20</v>
      </c>
      <c r="L724">
        <f t="shared" si="44"/>
        <v>5400</v>
      </c>
      <c r="M724">
        <f t="shared" si="45"/>
        <v>105</v>
      </c>
      <c r="N724">
        <f t="shared" si="46"/>
        <v>360</v>
      </c>
      <c r="O724" s="5">
        <f t="shared" si="47"/>
        <v>5025</v>
      </c>
    </row>
    <row r="725" spans="1:15" x14ac:dyDescent="0.3">
      <c r="A725" t="s">
        <v>753</v>
      </c>
      <c r="B725" s="3">
        <v>46118</v>
      </c>
      <c r="C725" t="s">
        <v>645</v>
      </c>
      <c r="D725" t="s">
        <v>34</v>
      </c>
      <c r="E725">
        <v>2</v>
      </c>
      <c r="F725">
        <v>300</v>
      </c>
      <c r="G725">
        <v>0.35</v>
      </c>
      <c r="H725">
        <v>20</v>
      </c>
      <c r="I725" t="s">
        <v>646</v>
      </c>
      <c r="J725" t="s">
        <v>647</v>
      </c>
      <c r="K725">
        <v>20</v>
      </c>
      <c r="L725">
        <f t="shared" si="44"/>
        <v>600</v>
      </c>
      <c r="M725">
        <f t="shared" si="45"/>
        <v>105</v>
      </c>
      <c r="N725">
        <f t="shared" si="46"/>
        <v>40</v>
      </c>
      <c r="O725" s="5">
        <f t="shared" si="47"/>
        <v>540</v>
      </c>
    </row>
    <row r="726" spans="1:15" x14ac:dyDescent="0.3">
      <c r="A726" t="s">
        <v>754</v>
      </c>
      <c r="B726" s="3">
        <v>46314</v>
      </c>
      <c r="C726" t="s">
        <v>645</v>
      </c>
      <c r="D726" t="s">
        <v>17</v>
      </c>
      <c r="E726">
        <v>19</v>
      </c>
      <c r="F726">
        <v>300</v>
      </c>
      <c r="G726">
        <v>0</v>
      </c>
      <c r="H726">
        <v>20</v>
      </c>
      <c r="I726" t="s">
        <v>646</v>
      </c>
      <c r="J726" t="s">
        <v>647</v>
      </c>
      <c r="K726">
        <v>20</v>
      </c>
      <c r="L726">
        <f t="shared" si="44"/>
        <v>5700</v>
      </c>
      <c r="M726">
        <f t="shared" si="45"/>
        <v>0</v>
      </c>
      <c r="N726">
        <f t="shared" si="46"/>
        <v>380</v>
      </c>
      <c r="O726" s="5">
        <f t="shared" si="47"/>
        <v>5300</v>
      </c>
    </row>
    <row r="727" spans="1:15" x14ac:dyDescent="0.3">
      <c r="A727" t="s">
        <v>755</v>
      </c>
      <c r="B727" s="3">
        <v>46278</v>
      </c>
      <c r="C727" t="s">
        <v>645</v>
      </c>
      <c r="D727" t="s">
        <v>34</v>
      </c>
      <c r="E727">
        <v>12</v>
      </c>
      <c r="F727">
        <v>300</v>
      </c>
      <c r="G727">
        <v>0.1</v>
      </c>
      <c r="H727">
        <v>20</v>
      </c>
      <c r="I727" t="s">
        <v>646</v>
      </c>
      <c r="J727" t="s">
        <v>647</v>
      </c>
      <c r="K727">
        <v>20</v>
      </c>
      <c r="L727">
        <f t="shared" si="44"/>
        <v>3600</v>
      </c>
      <c r="M727">
        <f t="shared" si="45"/>
        <v>30</v>
      </c>
      <c r="N727">
        <f t="shared" si="46"/>
        <v>240</v>
      </c>
      <c r="O727" s="5">
        <f t="shared" si="47"/>
        <v>3340</v>
      </c>
    </row>
    <row r="728" spans="1:15" x14ac:dyDescent="0.3">
      <c r="A728" t="s">
        <v>756</v>
      </c>
      <c r="B728" s="3">
        <v>46114</v>
      </c>
      <c r="C728" t="s">
        <v>645</v>
      </c>
      <c r="D728" t="s">
        <v>34</v>
      </c>
      <c r="E728">
        <v>21</v>
      </c>
      <c r="F728">
        <v>300</v>
      </c>
      <c r="G728">
        <v>0</v>
      </c>
      <c r="H728">
        <v>10</v>
      </c>
      <c r="I728" t="s">
        <v>646</v>
      </c>
      <c r="J728" t="s">
        <v>647</v>
      </c>
      <c r="K728">
        <v>20</v>
      </c>
      <c r="L728">
        <f t="shared" si="44"/>
        <v>6300</v>
      </c>
      <c r="M728">
        <f t="shared" si="45"/>
        <v>0</v>
      </c>
      <c r="N728">
        <f t="shared" si="46"/>
        <v>420</v>
      </c>
      <c r="O728" s="5">
        <f t="shared" si="47"/>
        <v>5870</v>
      </c>
    </row>
    <row r="729" spans="1:15" x14ac:dyDescent="0.3">
      <c r="A729" t="s">
        <v>757</v>
      </c>
      <c r="B729" s="3">
        <v>46292</v>
      </c>
      <c r="C729" t="s">
        <v>645</v>
      </c>
      <c r="D729" t="s">
        <v>17</v>
      </c>
      <c r="E729">
        <v>25</v>
      </c>
      <c r="F729">
        <v>300</v>
      </c>
      <c r="G729">
        <v>0</v>
      </c>
      <c r="H729">
        <v>15</v>
      </c>
      <c r="I729" t="s">
        <v>646</v>
      </c>
      <c r="J729" t="s">
        <v>647</v>
      </c>
      <c r="K729">
        <v>20</v>
      </c>
      <c r="L729">
        <f t="shared" si="44"/>
        <v>7500</v>
      </c>
      <c r="M729">
        <f t="shared" si="45"/>
        <v>0</v>
      </c>
      <c r="N729">
        <f t="shared" si="46"/>
        <v>500</v>
      </c>
      <c r="O729" s="5">
        <f t="shared" si="47"/>
        <v>6985</v>
      </c>
    </row>
    <row r="730" spans="1:15" x14ac:dyDescent="0.3">
      <c r="A730" t="s">
        <v>758</v>
      </c>
      <c r="B730" s="3">
        <v>46258</v>
      </c>
      <c r="C730" t="s">
        <v>645</v>
      </c>
      <c r="D730" t="s">
        <v>24</v>
      </c>
      <c r="E730">
        <v>1</v>
      </c>
      <c r="F730">
        <v>300</v>
      </c>
      <c r="G730">
        <v>0.35</v>
      </c>
      <c r="H730">
        <v>15</v>
      </c>
      <c r="I730" t="s">
        <v>646</v>
      </c>
      <c r="J730" t="s">
        <v>647</v>
      </c>
      <c r="K730">
        <v>20</v>
      </c>
      <c r="L730">
        <f t="shared" si="44"/>
        <v>300</v>
      </c>
      <c r="M730">
        <f t="shared" si="45"/>
        <v>105</v>
      </c>
      <c r="N730">
        <f t="shared" si="46"/>
        <v>20</v>
      </c>
      <c r="O730" s="5">
        <f t="shared" si="47"/>
        <v>265</v>
      </c>
    </row>
    <row r="731" spans="1:15" x14ac:dyDescent="0.3">
      <c r="A731" t="s">
        <v>759</v>
      </c>
      <c r="B731" s="3">
        <v>46248</v>
      </c>
      <c r="C731" t="s">
        <v>645</v>
      </c>
      <c r="D731" t="s">
        <v>22</v>
      </c>
      <c r="E731">
        <v>15</v>
      </c>
      <c r="F731">
        <v>300</v>
      </c>
      <c r="G731">
        <v>0</v>
      </c>
      <c r="H731">
        <v>10</v>
      </c>
      <c r="I731" t="s">
        <v>646</v>
      </c>
      <c r="J731" t="s">
        <v>647</v>
      </c>
      <c r="K731">
        <v>20</v>
      </c>
      <c r="L731">
        <f t="shared" si="44"/>
        <v>4500</v>
      </c>
      <c r="M731">
        <f t="shared" si="45"/>
        <v>0</v>
      </c>
      <c r="N731">
        <f t="shared" si="46"/>
        <v>300</v>
      </c>
      <c r="O731" s="5">
        <f t="shared" si="47"/>
        <v>4190</v>
      </c>
    </row>
    <row r="732" spans="1:15" x14ac:dyDescent="0.3">
      <c r="A732" t="s">
        <v>760</v>
      </c>
      <c r="B732" s="3">
        <v>46188</v>
      </c>
      <c r="C732" t="s">
        <v>645</v>
      </c>
      <c r="D732" t="s">
        <v>24</v>
      </c>
      <c r="E732">
        <v>21</v>
      </c>
      <c r="F732">
        <v>300</v>
      </c>
      <c r="G732">
        <v>0.2</v>
      </c>
      <c r="H732">
        <v>15</v>
      </c>
      <c r="I732" t="s">
        <v>646</v>
      </c>
      <c r="J732" t="s">
        <v>647</v>
      </c>
      <c r="K732">
        <v>20</v>
      </c>
      <c r="L732">
        <f t="shared" si="44"/>
        <v>6300</v>
      </c>
      <c r="M732">
        <f t="shared" si="45"/>
        <v>60</v>
      </c>
      <c r="N732">
        <f t="shared" si="46"/>
        <v>420</v>
      </c>
      <c r="O732" s="5">
        <f t="shared" si="47"/>
        <v>5865</v>
      </c>
    </row>
    <row r="733" spans="1:15" x14ac:dyDescent="0.3">
      <c r="A733" t="s">
        <v>761</v>
      </c>
      <c r="B733" s="3">
        <v>46243</v>
      </c>
      <c r="C733" t="s">
        <v>645</v>
      </c>
      <c r="D733" t="s">
        <v>17</v>
      </c>
      <c r="E733">
        <v>7</v>
      </c>
      <c r="F733">
        <v>300</v>
      </c>
      <c r="G733">
        <v>0.35</v>
      </c>
      <c r="H733">
        <v>10</v>
      </c>
      <c r="I733" t="s">
        <v>646</v>
      </c>
      <c r="J733" t="s">
        <v>647</v>
      </c>
      <c r="K733">
        <v>20</v>
      </c>
      <c r="L733">
        <f t="shared" si="44"/>
        <v>2100</v>
      </c>
      <c r="M733">
        <f t="shared" si="45"/>
        <v>105</v>
      </c>
      <c r="N733">
        <f t="shared" si="46"/>
        <v>140</v>
      </c>
      <c r="O733" s="5">
        <f t="shared" si="47"/>
        <v>1950</v>
      </c>
    </row>
    <row r="734" spans="1:15" x14ac:dyDescent="0.3">
      <c r="A734" t="s">
        <v>762</v>
      </c>
      <c r="B734" s="3">
        <v>46323</v>
      </c>
      <c r="C734" t="s">
        <v>645</v>
      </c>
      <c r="D734" t="s">
        <v>17</v>
      </c>
      <c r="E734">
        <v>21</v>
      </c>
      <c r="F734">
        <v>300</v>
      </c>
      <c r="G734">
        <v>0.2</v>
      </c>
      <c r="H734">
        <v>5</v>
      </c>
      <c r="I734" t="s">
        <v>646</v>
      </c>
      <c r="J734" t="s">
        <v>647</v>
      </c>
      <c r="K734">
        <v>20</v>
      </c>
      <c r="L734">
        <f t="shared" si="44"/>
        <v>6300</v>
      </c>
      <c r="M734">
        <f t="shared" si="45"/>
        <v>60</v>
      </c>
      <c r="N734">
        <f t="shared" si="46"/>
        <v>420</v>
      </c>
      <c r="O734" s="5">
        <f t="shared" si="47"/>
        <v>5875</v>
      </c>
    </row>
    <row r="735" spans="1:15" x14ac:dyDescent="0.3">
      <c r="A735" t="s">
        <v>763</v>
      </c>
      <c r="B735" s="3">
        <v>46193</v>
      </c>
      <c r="C735" t="s">
        <v>645</v>
      </c>
      <c r="D735" t="s">
        <v>17</v>
      </c>
      <c r="E735">
        <v>5</v>
      </c>
      <c r="F735">
        <v>300</v>
      </c>
      <c r="G735">
        <v>0.35</v>
      </c>
      <c r="H735">
        <v>10</v>
      </c>
      <c r="I735" t="s">
        <v>646</v>
      </c>
      <c r="J735" t="s">
        <v>647</v>
      </c>
      <c r="K735">
        <v>20</v>
      </c>
      <c r="L735">
        <f t="shared" si="44"/>
        <v>1500</v>
      </c>
      <c r="M735">
        <f t="shared" si="45"/>
        <v>105</v>
      </c>
      <c r="N735">
        <f t="shared" si="46"/>
        <v>100</v>
      </c>
      <c r="O735" s="5">
        <f t="shared" si="47"/>
        <v>1390</v>
      </c>
    </row>
    <row r="736" spans="1:15" x14ac:dyDescent="0.3">
      <c r="A736" t="s">
        <v>764</v>
      </c>
      <c r="B736" s="3">
        <v>46082</v>
      </c>
      <c r="C736" t="s">
        <v>645</v>
      </c>
      <c r="D736" t="s">
        <v>24</v>
      </c>
      <c r="E736">
        <v>16</v>
      </c>
      <c r="F736">
        <v>300</v>
      </c>
      <c r="G736">
        <v>0</v>
      </c>
      <c r="H736">
        <v>15</v>
      </c>
      <c r="I736" t="s">
        <v>646</v>
      </c>
      <c r="J736" t="s">
        <v>647</v>
      </c>
      <c r="K736">
        <v>20</v>
      </c>
      <c r="L736">
        <f t="shared" si="44"/>
        <v>4800</v>
      </c>
      <c r="M736">
        <f t="shared" si="45"/>
        <v>0</v>
      </c>
      <c r="N736">
        <f t="shared" si="46"/>
        <v>320</v>
      </c>
      <c r="O736" s="5">
        <f t="shared" si="47"/>
        <v>4465</v>
      </c>
    </row>
    <row r="737" spans="1:15" x14ac:dyDescent="0.3">
      <c r="A737" t="s">
        <v>765</v>
      </c>
      <c r="B737" s="3">
        <v>46120</v>
      </c>
      <c r="C737" t="s">
        <v>645</v>
      </c>
      <c r="D737" t="s">
        <v>24</v>
      </c>
      <c r="E737">
        <v>13</v>
      </c>
      <c r="F737">
        <v>300</v>
      </c>
      <c r="G737">
        <v>0.2</v>
      </c>
      <c r="H737">
        <v>5</v>
      </c>
      <c r="I737" t="s">
        <v>646</v>
      </c>
      <c r="J737" t="s">
        <v>647</v>
      </c>
      <c r="K737">
        <v>20</v>
      </c>
      <c r="L737">
        <f t="shared" si="44"/>
        <v>3900</v>
      </c>
      <c r="M737">
        <f t="shared" si="45"/>
        <v>60</v>
      </c>
      <c r="N737">
        <f t="shared" si="46"/>
        <v>260</v>
      </c>
      <c r="O737" s="5">
        <f t="shared" si="47"/>
        <v>3635</v>
      </c>
    </row>
    <row r="738" spans="1:15" x14ac:dyDescent="0.3">
      <c r="A738" t="s">
        <v>766</v>
      </c>
      <c r="B738" s="3">
        <v>46164</v>
      </c>
      <c r="C738" t="s">
        <v>645</v>
      </c>
      <c r="D738" t="s">
        <v>22</v>
      </c>
      <c r="E738">
        <v>10</v>
      </c>
      <c r="F738">
        <v>300</v>
      </c>
      <c r="G738">
        <v>0.1</v>
      </c>
      <c r="H738">
        <v>20</v>
      </c>
      <c r="I738" t="s">
        <v>646</v>
      </c>
      <c r="J738" t="s">
        <v>647</v>
      </c>
      <c r="K738">
        <v>20</v>
      </c>
      <c r="L738">
        <f t="shared" si="44"/>
        <v>3000</v>
      </c>
      <c r="M738">
        <f t="shared" si="45"/>
        <v>30</v>
      </c>
      <c r="N738">
        <f t="shared" si="46"/>
        <v>200</v>
      </c>
      <c r="O738" s="5">
        <f t="shared" si="47"/>
        <v>2780</v>
      </c>
    </row>
    <row r="739" spans="1:15" x14ac:dyDescent="0.3">
      <c r="A739" t="s">
        <v>767</v>
      </c>
      <c r="B739" s="3">
        <v>46229</v>
      </c>
      <c r="C739" t="s">
        <v>645</v>
      </c>
      <c r="D739" t="s">
        <v>17</v>
      </c>
      <c r="E739">
        <v>8</v>
      </c>
      <c r="F739">
        <v>300</v>
      </c>
      <c r="G739">
        <v>0.35</v>
      </c>
      <c r="H739">
        <v>20</v>
      </c>
      <c r="I739" t="s">
        <v>646</v>
      </c>
      <c r="J739" t="s">
        <v>647</v>
      </c>
      <c r="K739">
        <v>20</v>
      </c>
      <c r="L739">
        <f t="shared" si="44"/>
        <v>2400</v>
      </c>
      <c r="M739">
        <f t="shared" si="45"/>
        <v>105</v>
      </c>
      <c r="N739">
        <f t="shared" si="46"/>
        <v>160</v>
      </c>
      <c r="O739" s="5">
        <f t="shared" si="47"/>
        <v>2220</v>
      </c>
    </row>
    <row r="740" spans="1:15" x14ac:dyDescent="0.3">
      <c r="A740" t="s">
        <v>768</v>
      </c>
      <c r="B740" s="3">
        <v>46245</v>
      </c>
      <c r="C740" t="s">
        <v>645</v>
      </c>
      <c r="D740" t="s">
        <v>34</v>
      </c>
      <c r="E740">
        <v>14</v>
      </c>
      <c r="F740">
        <v>300</v>
      </c>
      <c r="G740">
        <v>0.35</v>
      </c>
      <c r="H740">
        <v>20</v>
      </c>
      <c r="I740" t="s">
        <v>646</v>
      </c>
      <c r="J740" t="s">
        <v>647</v>
      </c>
      <c r="K740">
        <v>20</v>
      </c>
      <c r="L740">
        <f t="shared" si="44"/>
        <v>4200</v>
      </c>
      <c r="M740">
        <f t="shared" si="45"/>
        <v>105</v>
      </c>
      <c r="N740">
        <f t="shared" si="46"/>
        <v>280</v>
      </c>
      <c r="O740" s="5">
        <f t="shared" si="47"/>
        <v>3900</v>
      </c>
    </row>
    <row r="741" spans="1:15" x14ac:dyDescent="0.3">
      <c r="A741" t="s">
        <v>769</v>
      </c>
      <c r="B741" s="3">
        <v>46049</v>
      </c>
      <c r="C741" t="s">
        <v>645</v>
      </c>
      <c r="D741" t="s">
        <v>17</v>
      </c>
      <c r="E741">
        <v>22</v>
      </c>
      <c r="F741">
        <v>300</v>
      </c>
      <c r="G741">
        <v>0.2</v>
      </c>
      <c r="H741">
        <v>10</v>
      </c>
      <c r="I741" t="s">
        <v>646</v>
      </c>
      <c r="J741" t="s">
        <v>647</v>
      </c>
      <c r="K741">
        <v>20</v>
      </c>
      <c r="L741">
        <f t="shared" si="44"/>
        <v>6600</v>
      </c>
      <c r="M741">
        <f t="shared" si="45"/>
        <v>60</v>
      </c>
      <c r="N741">
        <f t="shared" si="46"/>
        <v>440</v>
      </c>
      <c r="O741" s="5">
        <f t="shared" si="47"/>
        <v>6150</v>
      </c>
    </row>
    <row r="742" spans="1:15" x14ac:dyDescent="0.3">
      <c r="A742" t="s">
        <v>770</v>
      </c>
      <c r="B742" s="3">
        <v>46351</v>
      </c>
      <c r="C742" t="s">
        <v>645</v>
      </c>
      <c r="D742" t="s">
        <v>22</v>
      </c>
      <c r="E742">
        <v>8</v>
      </c>
      <c r="F742">
        <v>300</v>
      </c>
      <c r="G742">
        <v>0.2</v>
      </c>
      <c r="H742">
        <v>15</v>
      </c>
      <c r="I742" t="s">
        <v>646</v>
      </c>
      <c r="J742" t="s">
        <v>647</v>
      </c>
      <c r="K742">
        <v>20</v>
      </c>
      <c r="L742">
        <f t="shared" si="44"/>
        <v>2400</v>
      </c>
      <c r="M742">
        <f t="shared" si="45"/>
        <v>60</v>
      </c>
      <c r="N742">
        <f t="shared" si="46"/>
        <v>160</v>
      </c>
      <c r="O742" s="5">
        <f t="shared" si="47"/>
        <v>2225</v>
      </c>
    </row>
    <row r="743" spans="1:15" x14ac:dyDescent="0.3">
      <c r="A743" t="s">
        <v>771</v>
      </c>
      <c r="B743" s="3">
        <v>46066</v>
      </c>
      <c r="C743" t="s">
        <v>645</v>
      </c>
      <c r="D743" t="s">
        <v>17</v>
      </c>
      <c r="E743">
        <v>25</v>
      </c>
      <c r="F743">
        <v>300</v>
      </c>
      <c r="G743">
        <v>0.2</v>
      </c>
      <c r="H743">
        <v>15</v>
      </c>
      <c r="I743" t="s">
        <v>646</v>
      </c>
      <c r="J743" t="s">
        <v>647</v>
      </c>
      <c r="K743">
        <v>20</v>
      </c>
      <c r="L743">
        <f t="shared" si="44"/>
        <v>7500</v>
      </c>
      <c r="M743">
        <f t="shared" si="45"/>
        <v>60</v>
      </c>
      <c r="N743">
        <f t="shared" si="46"/>
        <v>500</v>
      </c>
      <c r="O743" s="5">
        <f t="shared" si="47"/>
        <v>6985</v>
      </c>
    </row>
    <row r="744" spans="1:15" x14ac:dyDescent="0.3">
      <c r="A744" t="s">
        <v>772</v>
      </c>
      <c r="B744" s="3">
        <v>46129</v>
      </c>
      <c r="C744" t="s">
        <v>645</v>
      </c>
      <c r="D744" t="s">
        <v>24</v>
      </c>
      <c r="E744">
        <v>10</v>
      </c>
      <c r="F744">
        <v>300</v>
      </c>
      <c r="G744">
        <v>0.35</v>
      </c>
      <c r="H744">
        <v>15</v>
      </c>
      <c r="I744" t="s">
        <v>646</v>
      </c>
      <c r="J744" t="s">
        <v>647</v>
      </c>
      <c r="K744">
        <v>20</v>
      </c>
      <c r="L744">
        <f t="shared" si="44"/>
        <v>3000</v>
      </c>
      <c r="M744">
        <f t="shared" si="45"/>
        <v>105</v>
      </c>
      <c r="N744">
        <f t="shared" si="46"/>
        <v>200</v>
      </c>
      <c r="O744" s="5">
        <f t="shared" si="47"/>
        <v>2785</v>
      </c>
    </row>
    <row r="745" spans="1:15" x14ac:dyDescent="0.3">
      <c r="A745" t="s">
        <v>773</v>
      </c>
      <c r="B745" s="3">
        <v>46263</v>
      </c>
      <c r="C745" t="s">
        <v>645</v>
      </c>
      <c r="D745" t="s">
        <v>24</v>
      </c>
      <c r="E745">
        <v>5</v>
      </c>
      <c r="F745">
        <v>300</v>
      </c>
      <c r="G745">
        <v>0.1</v>
      </c>
      <c r="H745">
        <v>15</v>
      </c>
      <c r="I745" t="s">
        <v>646</v>
      </c>
      <c r="J745" t="s">
        <v>647</v>
      </c>
      <c r="K745">
        <v>20</v>
      </c>
      <c r="L745">
        <f t="shared" si="44"/>
        <v>1500</v>
      </c>
      <c r="M745">
        <f t="shared" si="45"/>
        <v>30</v>
      </c>
      <c r="N745">
        <f t="shared" si="46"/>
        <v>100</v>
      </c>
      <c r="O745" s="5">
        <f t="shared" si="47"/>
        <v>1385</v>
      </c>
    </row>
    <row r="746" spans="1:15" x14ac:dyDescent="0.3">
      <c r="A746" t="s">
        <v>774</v>
      </c>
      <c r="B746" s="3">
        <v>46215</v>
      </c>
      <c r="C746" t="s">
        <v>645</v>
      </c>
      <c r="D746" t="s">
        <v>22</v>
      </c>
      <c r="E746">
        <v>11</v>
      </c>
      <c r="F746">
        <v>300</v>
      </c>
      <c r="G746">
        <v>0.2</v>
      </c>
      <c r="H746">
        <v>20</v>
      </c>
      <c r="I746" t="s">
        <v>646</v>
      </c>
      <c r="J746" t="s">
        <v>647</v>
      </c>
      <c r="K746">
        <v>20</v>
      </c>
      <c r="L746">
        <f t="shared" si="44"/>
        <v>3300</v>
      </c>
      <c r="M746">
        <f t="shared" si="45"/>
        <v>60</v>
      </c>
      <c r="N746">
        <f t="shared" si="46"/>
        <v>220</v>
      </c>
      <c r="O746" s="5">
        <f t="shared" si="47"/>
        <v>3060</v>
      </c>
    </row>
    <row r="747" spans="1:15" x14ac:dyDescent="0.3">
      <c r="A747" t="s">
        <v>775</v>
      </c>
      <c r="B747" s="3">
        <v>46181</v>
      </c>
      <c r="C747" t="s">
        <v>645</v>
      </c>
      <c r="D747" t="s">
        <v>24</v>
      </c>
      <c r="E747">
        <v>20</v>
      </c>
      <c r="F747">
        <v>300</v>
      </c>
      <c r="G747">
        <v>0.35</v>
      </c>
      <c r="H747">
        <v>20</v>
      </c>
      <c r="I747" t="s">
        <v>646</v>
      </c>
      <c r="J747" t="s">
        <v>647</v>
      </c>
      <c r="K747">
        <v>20</v>
      </c>
      <c r="L747">
        <f t="shared" si="44"/>
        <v>6000</v>
      </c>
      <c r="M747">
        <f t="shared" si="45"/>
        <v>105</v>
      </c>
      <c r="N747">
        <f t="shared" si="46"/>
        <v>400</v>
      </c>
      <c r="O747" s="5">
        <f t="shared" si="47"/>
        <v>5580</v>
      </c>
    </row>
    <row r="748" spans="1:15" x14ac:dyDescent="0.3">
      <c r="A748" t="s">
        <v>776</v>
      </c>
      <c r="B748" s="3">
        <v>46199</v>
      </c>
      <c r="C748" t="s">
        <v>645</v>
      </c>
      <c r="D748" t="s">
        <v>34</v>
      </c>
      <c r="E748">
        <v>8</v>
      </c>
      <c r="F748">
        <v>300</v>
      </c>
      <c r="G748">
        <v>0.2</v>
      </c>
      <c r="H748">
        <v>15</v>
      </c>
      <c r="I748" t="s">
        <v>646</v>
      </c>
      <c r="J748" t="s">
        <v>647</v>
      </c>
      <c r="K748">
        <v>20</v>
      </c>
      <c r="L748">
        <f t="shared" si="44"/>
        <v>2400</v>
      </c>
      <c r="M748">
        <f t="shared" si="45"/>
        <v>60</v>
      </c>
      <c r="N748">
        <f t="shared" si="46"/>
        <v>160</v>
      </c>
      <c r="O748" s="5">
        <f t="shared" si="47"/>
        <v>2225</v>
      </c>
    </row>
    <row r="749" spans="1:15" x14ac:dyDescent="0.3">
      <c r="A749" t="s">
        <v>777</v>
      </c>
      <c r="B749" s="3">
        <v>46311</v>
      </c>
      <c r="C749" t="s">
        <v>645</v>
      </c>
      <c r="D749" t="s">
        <v>17</v>
      </c>
      <c r="E749">
        <v>14</v>
      </c>
      <c r="F749">
        <v>300</v>
      </c>
      <c r="G749">
        <v>0.35</v>
      </c>
      <c r="H749">
        <v>5</v>
      </c>
      <c r="I749" t="s">
        <v>646</v>
      </c>
      <c r="J749" t="s">
        <v>647</v>
      </c>
      <c r="K749">
        <v>20</v>
      </c>
      <c r="L749">
        <f t="shared" si="44"/>
        <v>4200</v>
      </c>
      <c r="M749">
        <f t="shared" si="45"/>
        <v>105</v>
      </c>
      <c r="N749">
        <f t="shared" si="46"/>
        <v>280</v>
      </c>
      <c r="O749" s="5">
        <f t="shared" si="47"/>
        <v>3915</v>
      </c>
    </row>
    <row r="750" spans="1:15" x14ac:dyDescent="0.3">
      <c r="A750" t="s">
        <v>778</v>
      </c>
      <c r="B750" s="3">
        <v>46332</v>
      </c>
      <c r="C750" t="s">
        <v>645</v>
      </c>
      <c r="D750" t="s">
        <v>22</v>
      </c>
      <c r="E750">
        <v>16</v>
      </c>
      <c r="F750">
        <v>300</v>
      </c>
      <c r="G750">
        <v>0.2</v>
      </c>
      <c r="H750">
        <v>20</v>
      </c>
      <c r="I750" t="s">
        <v>646</v>
      </c>
      <c r="J750" t="s">
        <v>647</v>
      </c>
      <c r="K750">
        <v>20</v>
      </c>
      <c r="L750">
        <f t="shared" si="44"/>
        <v>4800</v>
      </c>
      <c r="M750">
        <f t="shared" si="45"/>
        <v>60</v>
      </c>
      <c r="N750">
        <f t="shared" si="46"/>
        <v>320</v>
      </c>
      <c r="O750" s="5">
        <f t="shared" si="47"/>
        <v>4460</v>
      </c>
    </row>
    <row r="751" spans="1:15" x14ac:dyDescent="0.3">
      <c r="A751" t="s">
        <v>779</v>
      </c>
      <c r="B751" s="3">
        <v>46348</v>
      </c>
      <c r="C751" t="s">
        <v>645</v>
      </c>
      <c r="D751" t="s">
        <v>17</v>
      </c>
      <c r="E751">
        <v>15</v>
      </c>
      <c r="F751">
        <v>300</v>
      </c>
      <c r="G751">
        <v>0.2</v>
      </c>
      <c r="H751">
        <v>20</v>
      </c>
      <c r="I751" t="s">
        <v>646</v>
      </c>
      <c r="J751" t="s">
        <v>647</v>
      </c>
      <c r="K751">
        <v>20</v>
      </c>
      <c r="L751">
        <f t="shared" si="44"/>
        <v>4500</v>
      </c>
      <c r="M751">
        <f t="shared" si="45"/>
        <v>60</v>
      </c>
      <c r="N751">
        <f t="shared" si="46"/>
        <v>300</v>
      </c>
      <c r="O751" s="5">
        <f t="shared" si="47"/>
        <v>4180</v>
      </c>
    </row>
    <row r="752" spans="1:15" x14ac:dyDescent="0.3">
      <c r="A752" t="s">
        <v>780</v>
      </c>
      <c r="B752" s="3">
        <v>46171</v>
      </c>
      <c r="C752" t="s">
        <v>645</v>
      </c>
      <c r="D752" t="s">
        <v>34</v>
      </c>
      <c r="E752">
        <v>7</v>
      </c>
      <c r="F752">
        <v>300</v>
      </c>
      <c r="G752">
        <v>0.35</v>
      </c>
      <c r="H752">
        <v>15</v>
      </c>
      <c r="I752" t="s">
        <v>646</v>
      </c>
      <c r="J752" t="s">
        <v>647</v>
      </c>
      <c r="K752">
        <v>20</v>
      </c>
      <c r="L752">
        <f t="shared" si="44"/>
        <v>2100</v>
      </c>
      <c r="M752">
        <f t="shared" si="45"/>
        <v>105</v>
      </c>
      <c r="N752">
        <f t="shared" si="46"/>
        <v>140</v>
      </c>
      <c r="O752" s="5">
        <f t="shared" si="47"/>
        <v>1945</v>
      </c>
    </row>
    <row r="753" spans="1:15" x14ac:dyDescent="0.3">
      <c r="A753" t="s">
        <v>781</v>
      </c>
      <c r="B753" s="3">
        <v>46340</v>
      </c>
      <c r="C753" t="s">
        <v>645</v>
      </c>
      <c r="D753" t="s">
        <v>22</v>
      </c>
      <c r="E753">
        <v>14</v>
      </c>
      <c r="F753">
        <v>300</v>
      </c>
      <c r="G753">
        <v>0.2</v>
      </c>
      <c r="H753">
        <v>20</v>
      </c>
      <c r="I753" t="s">
        <v>646</v>
      </c>
      <c r="J753" t="s">
        <v>647</v>
      </c>
      <c r="K753">
        <v>20</v>
      </c>
      <c r="L753">
        <f t="shared" si="44"/>
        <v>4200</v>
      </c>
      <c r="M753">
        <f t="shared" si="45"/>
        <v>60</v>
      </c>
      <c r="N753">
        <f t="shared" si="46"/>
        <v>280</v>
      </c>
      <c r="O753" s="5">
        <f t="shared" si="47"/>
        <v>3900</v>
      </c>
    </row>
    <row r="754" spans="1:15" x14ac:dyDescent="0.3">
      <c r="A754" t="s">
        <v>782</v>
      </c>
      <c r="B754" s="3">
        <v>46295</v>
      </c>
      <c r="C754" t="s">
        <v>645</v>
      </c>
      <c r="D754" t="s">
        <v>22</v>
      </c>
      <c r="E754">
        <v>12</v>
      </c>
      <c r="F754">
        <v>300</v>
      </c>
      <c r="G754">
        <v>0.2</v>
      </c>
      <c r="H754">
        <v>20</v>
      </c>
      <c r="I754" t="s">
        <v>646</v>
      </c>
      <c r="J754" t="s">
        <v>647</v>
      </c>
      <c r="K754">
        <v>20</v>
      </c>
      <c r="L754">
        <f t="shared" si="44"/>
        <v>3600</v>
      </c>
      <c r="M754">
        <f t="shared" si="45"/>
        <v>60</v>
      </c>
      <c r="N754">
        <f t="shared" si="46"/>
        <v>240</v>
      </c>
      <c r="O754" s="5">
        <f t="shared" si="47"/>
        <v>3340</v>
      </c>
    </row>
    <row r="755" spans="1:15" x14ac:dyDescent="0.3">
      <c r="A755" t="s">
        <v>783</v>
      </c>
      <c r="B755" s="3">
        <v>46315</v>
      </c>
      <c r="C755" t="s">
        <v>645</v>
      </c>
      <c r="D755" t="s">
        <v>24</v>
      </c>
      <c r="E755">
        <v>6</v>
      </c>
      <c r="F755">
        <v>300</v>
      </c>
      <c r="G755">
        <v>0.35</v>
      </c>
      <c r="H755">
        <v>15</v>
      </c>
      <c r="I755" t="s">
        <v>646</v>
      </c>
      <c r="J755" t="s">
        <v>647</v>
      </c>
      <c r="K755">
        <v>20</v>
      </c>
      <c r="L755">
        <f t="shared" si="44"/>
        <v>1800</v>
      </c>
      <c r="M755">
        <f t="shared" si="45"/>
        <v>105</v>
      </c>
      <c r="N755">
        <f t="shared" si="46"/>
        <v>120</v>
      </c>
      <c r="O755" s="5">
        <f t="shared" si="47"/>
        <v>1665</v>
      </c>
    </row>
    <row r="756" spans="1:15" x14ac:dyDescent="0.3">
      <c r="A756" t="s">
        <v>784</v>
      </c>
      <c r="B756" s="3">
        <v>46179</v>
      </c>
      <c r="C756" t="s">
        <v>645</v>
      </c>
      <c r="D756" t="s">
        <v>17</v>
      </c>
      <c r="E756">
        <v>5</v>
      </c>
      <c r="F756">
        <v>300</v>
      </c>
      <c r="G756">
        <v>0</v>
      </c>
      <c r="H756">
        <v>10</v>
      </c>
      <c r="I756" t="s">
        <v>646</v>
      </c>
      <c r="J756" t="s">
        <v>647</v>
      </c>
      <c r="K756">
        <v>20</v>
      </c>
      <c r="L756">
        <f t="shared" si="44"/>
        <v>1500</v>
      </c>
      <c r="M756">
        <f t="shared" si="45"/>
        <v>0</v>
      </c>
      <c r="N756">
        <f t="shared" si="46"/>
        <v>100</v>
      </c>
      <c r="O756" s="5">
        <f t="shared" si="47"/>
        <v>1390</v>
      </c>
    </row>
    <row r="757" spans="1:15" x14ac:dyDescent="0.3">
      <c r="A757" t="s">
        <v>785</v>
      </c>
      <c r="B757" s="3">
        <v>46062</v>
      </c>
      <c r="C757" t="s">
        <v>645</v>
      </c>
      <c r="D757" t="s">
        <v>22</v>
      </c>
      <c r="E757">
        <v>23</v>
      </c>
      <c r="F757">
        <v>300</v>
      </c>
      <c r="G757">
        <v>0.35</v>
      </c>
      <c r="H757">
        <v>10</v>
      </c>
      <c r="I757" t="s">
        <v>646</v>
      </c>
      <c r="J757" t="s">
        <v>647</v>
      </c>
      <c r="K757">
        <v>20</v>
      </c>
      <c r="L757">
        <f t="shared" si="44"/>
        <v>6900</v>
      </c>
      <c r="M757">
        <f t="shared" si="45"/>
        <v>105</v>
      </c>
      <c r="N757">
        <f t="shared" si="46"/>
        <v>460</v>
      </c>
      <c r="O757" s="5">
        <f t="shared" si="47"/>
        <v>6430</v>
      </c>
    </row>
    <row r="758" spans="1:15" x14ac:dyDescent="0.3">
      <c r="A758" t="s">
        <v>786</v>
      </c>
      <c r="B758" s="3">
        <v>46319</v>
      </c>
      <c r="C758" t="s">
        <v>645</v>
      </c>
      <c r="D758" t="s">
        <v>34</v>
      </c>
      <c r="E758">
        <v>11</v>
      </c>
      <c r="F758">
        <v>300</v>
      </c>
      <c r="G758">
        <v>0</v>
      </c>
      <c r="H758">
        <v>20</v>
      </c>
      <c r="I758" t="s">
        <v>646</v>
      </c>
      <c r="J758" t="s">
        <v>647</v>
      </c>
      <c r="K758">
        <v>20</v>
      </c>
      <c r="L758">
        <f t="shared" si="44"/>
        <v>3300</v>
      </c>
      <c r="M758">
        <f t="shared" si="45"/>
        <v>0</v>
      </c>
      <c r="N758">
        <f t="shared" si="46"/>
        <v>220</v>
      </c>
      <c r="O758" s="5">
        <f t="shared" si="47"/>
        <v>3060</v>
      </c>
    </row>
    <row r="759" spans="1:15" x14ac:dyDescent="0.3">
      <c r="A759" t="s">
        <v>787</v>
      </c>
      <c r="B759" s="3">
        <v>46173</v>
      </c>
      <c r="C759" t="s">
        <v>645</v>
      </c>
      <c r="D759" t="s">
        <v>24</v>
      </c>
      <c r="E759">
        <v>6</v>
      </c>
      <c r="F759">
        <v>300</v>
      </c>
      <c r="G759">
        <v>0</v>
      </c>
      <c r="H759">
        <v>20</v>
      </c>
      <c r="I759" t="s">
        <v>646</v>
      </c>
      <c r="J759" t="s">
        <v>647</v>
      </c>
      <c r="K759">
        <v>20</v>
      </c>
      <c r="L759">
        <f t="shared" si="44"/>
        <v>1800</v>
      </c>
      <c r="M759">
        <f t="shared" si="45"/>
        <v>0</v>
      </c>
      <c r="N759">
        <f t="shared" si="46"/>
        <v>120</v>
      </c>
      <c r="O759" s="5">
        <f t="shared" si="47"/>
        <v>1660</v>
      </c>
    </row>
    <row r="760" spans="1:15" x14ac:dyDescent="0.3">
      <c r="A760" t="s">
        <v>788</v>
      </c>
      <c r="B760" s="3">
        <v>46347</v>
      </c>
      <c r="C760" t="s">
        <v>645</v>
      </c>
      <c r="D760" t="s">
        <v>17</v>
      </c>
      <c r="E760">
        <v>23</v>
      </c>
      <c r="F760">
        <v>300</v>
      </c>
      <c r="G760">
        <v>0.1</v>
      </c>
      <c r="H760">
        <v>10</v>
      </c>
      <c r="I760" t="s">
        <v>646</v>
      </c>
      <c r="J760" t="s">
        <v>647</v>
      </c>
      <c r="K760">
        <v>20</v>
      </c>
      <c r="L760">
        <f t="shared" si="44"/>
        <v>6900</v>
      </c>
      <c r="M760">
        <f t="shared" si="45"/>
        <v>30</v>
      </c>
      <c r="N760">
        <f t="shared" si="46"/>
        <v>460</v>
      </c>
      <c r="O760" s="5">
        <f t="shared" si="47"/>
        <v>6430</v>
      </c>
    </row>
    <row r="761" spans="1:15" x14ac:dyDescent="0.3">
      <c r="A761" t="s">
        <v>789</v>
      </c>
      <c r="B761" s="3">
        <v>46054</v>
      </c>
      <c r="C761" t="s">
        <v>645</v>
      </c>
      <c r="D761" t="s">
        <v>22</v>
      </c>
      <c r="E761">
        <v>25</v>
      </c>
      <c r="F761">
        <v>300</v>
      </c>
      <c r="G761">
        <v>0.35</v>
      </c>
      <c r="H761">
        <v>20</v>
      </c>
      <c r="I761" t="s">
        <v>646</v>
      </c>
      <c r="J761" t="s">
        <v>647</v>
      </c>
      <c r="K761">
        <v>20</v>
      </c>
      <c r="L761">
        <f t="shared" si="44"/>
        <v>7500</v>
      </c>
      <c r="M761">
        <f t="shared" si="45"/>
        <v>105</v>
      </c>
      <c r="N761">
        <f t="shared" si="46"/>
        <v>500</v>
      </c>
      <c r="O761" s="5">
        <f t="shared" si="47"/>
        <v>6980</v>
      </c>
    </row>
    <row r="762" spans="1:15" x14ac:dyDescent="0.3">
      <c r="A762" t="s">
        <v>790</v>
      </c>
      <c r="B762" s="3">
        <v>46131</v>
      </c>
      <c r="C762" t="s">
        <v>645</v>
      </c>
      <c r="D762" t="s">
        <v>17</v>
      </c>
      <c r="E762">
        <v>5</v>
      </c>
      <c r="F762">
        <v>300</v>
      </c>
      <c r="G762">
        <v>0.1</v>
      </c>
      <c r="H762">
        <v>20</v>
      </c>
      <c r="I762" t="s">
        <v>646</v>
      </c>
      <c r="J762" t="s">
        <v>647</v>
      </c>
      <c r="K762">
        <v>20</v>
      </c>
      <c r="L762">
        <f t="shared" si="44"/>
        <v>1500</v>
      </c>
      <c r="M762">
        <f t="shared" si="45"/>
        <v>30</v>
      </c>
      <c r="N762">
        <f t="shared" si="46"/>
        <v>100</v>
      </c>
      <c r="O762" s="5">
        <f t="shared" si="47"/>
        <v>1380</v>
      </c>
    </row>
    <row r="763" spans="1:15" x14ac:dyDescent="0.3">
      <c r="A763" t="s">
        <v>791</v>
      </c>
      <c r="B763" s="3">
        <v>46169</v>
      </c>
      <c r="C763" t="s">
        <v>645</v>
      </c>
      <c r="D763" t="s">
        <v>34</v>
      </c>
      <c r="E763">
        <v>21</v>
      </c>
      <c r="F763">
        <v>300</v>
      </c>
      <c r="G763">
        <v>0</v>
      </c>
      <c r="H763">
        <v>20</v>
      </c>
      <c r="I763" t="s">
        <v>646</v>
      </c>
      <c r="J763" t="s">
        <v>647</v>
      </c>
      <c r="K763">
        <v>20</v>
      </c>
      <c r="L763">
        <f t="shared" si="44"/>
        <v>6300</v>
      </c>
      <c r="M763">
        <f t="shared" si="45"/>
        <v>0</v>
      </c>
      <c r="N763">
        <f t="shared" si="46"/>
        <v>420</v>
      </c>
      <c r="O763" s="5">
        <f t="shared" si="47"/>
        <v>5860</v>
      </c>
    </row>
    <row r="764" spans="1:15" x14ac:dyDescent="0.3">
      <c r="A764" t="s">
        <v>792</v>
      </c>
      <c r="B764" s="3">
        <v>46229</v>
      </c>
      <c r="C764" t="s">
        <v>645</v>
      </c>
      <c r="D764" t="s">
        <v>17</v>
      </c>
      <c r="E764">
        <v>21</v>
      </c>
      <c r="F764">
        <v>300</v>
      </c>
      <c r="G764">
        <v>0.1</v>
      </c>
      <c r="H764">
        <v>5</v>
      </c>
      <c r="I764" t="s">
        <v>646</v>
      </c>
      <c r="J764" t="s">
        <v>647</v>
      </c>
      <c r="K764">
        <v>20</v>
      </c>
      <c r="L764">
        <f t="shared" si="44"/>
        <v>6300</v>
      </c>
      <c r="M764">
        <f t="shared" si="45"/>
        <v>30</v>
      </c>
      <c r="N764">
        <f t="shared" si="46"/>
        <v>420</v>
      </c>
      <c r="O764" s="5">
        <f t="shared" si="47"/>
        <v>5875</v>
      </c>
    </row>
    <row r="765" spans="1:15" x14ac:dyDescent="0.3">
      <c r="A765" t="s">
        <v>793</v>
      </c>
      <c r="B765" s="3">
        <v>46131</v>
      </c>
      <c r="C765" t="s">
        <v>645</v>
      </c>
      <c r="D765" t="s">
        <v>24</v>
      </c>
      <c r="E765">
        <v>22</v>
      </c>
      <c r="F765">
        <v>300</v>
      </c>
      <c r="G765">
        <v>0</v>
      </c>
      <c r="H765">
        <v>15</v>
      </c>
      <c r="I765" t="s">
        <v>646</v>
      </c>
      <c r="J765" t="s">
        <v>647</v>
      </c>
      <c r="K765">
        <v>20</v>
      </c>
      <c r="L765">
        <f t="shared" si="44"/>
        <v>6600</v>
      </c>
      <c r="M765">
        <f t="shared" si="45"/>
        <v>0</v>
      </c>
      <c r="N765">
        <f t="shared" si="46"/>
        <v>440</v>
      </c>
      <c r="O765" s="5">
        <f t="shared" si="47"/>
        <v>6145</v>
      </c>
    </row>
    <row r="766" spans="1:15" x14ac:dyDescent="0.3">
      <c r="A766" t="s">
        <v>794</v>
      </c>
      <c r="B766" s="3">
        <v>46198</v>
      </c>
      <c r="C766" t="s">
        <v>645</v>
      </c>
      <c r="D766" t="s">
        <v>22</v>
      </c>
      <c r="E766">
        <v>2</v>
      </c>
      <c r="F766">
        <v>300</v>
      </c>
      <c r="G766">
        <v>0.1</v>
      </c>
      <c r="H766">
        <v>15</v>
      </c>
      <c r="I766" t="s">
        <v>646</v>
      </c>
      <c r="J766" t="s">
        <v>647</v>
      </c>
      <c r="K766">
        <v>20</v>
      </c>
      <c r="L766">
        <f t="shared" si="44"/>
        <v>600</v>
      </c>
      <c r="M766">
        <f t="shared" si="45"/>
        <v>30</v>
      </c>
      <c r="N766">
        <f t="shared" si="46"/>
        <v>40</v>
      </c>
      <c r="O766" s="5">
        <f t="shared" si="47"/>
        <v>545</v>
      </c>
    </row>
    <row r="767" spans="1:15" x14ac:dyDescent="0.3">
      <c r="A767" t="s">
        <v>795</v>
      </c>
      <c r="B767" s="3">
        <v>46377</v>
      </c>
      <c r="C767" t="s">
        <v>645</v>
      </c>
      <c r="D767" t="s">
        <v>24</v>
      </c>
      <c r="E767">
        <v>5</v>
      </c>
      <c r="F767">
        <v>300</v>
      </c>
      <c r="G767">
        <v>0.2</v>
      </c>
      <c r="H767">
        <v>20</v>
      </c>
      <c r="I767" t="s">
        <v>646</v>
      </c>
      <c r="J767" t="s">
        <v>647</v>
      </c>
      <c r="K767">
        <v>20</v>
      </c>
      <c r="L767">
        <f t="shared" si="44"/>
        <v>1500</v>
      </c>
      <c r="M767">
        <f t="shared" si="45"/>
        <v>60</v>
      </c>
      <c r="N767">
        <f t="shared" si="46"/>
        <v>100</v>
      </c>
      <c r="O767" s="5">
        <f t="shared" si="47"/>
        <v>1380</v>
      </c>
    </row>
    <row r="768" spans="1:15" x14ac:dyDescent="0.3">
      <c r="A768" t="s">
        <v>796</v>
      </c>
      <c r="B768" s="3">
        <v>46078</v>
      </c>
      <c r="C768" t="s">
        <v>645</v>
      </c>
      <c r="D768" t="s">
        <v>22</v>
      </c>
      <c r="E768">
        <v>3</v>
      </c>
      <c r="F768">
        <v>300</v>
      </c>
      <c r="G768">
        <v>0.1</v>
      </c>
      <c r="H768">
        <v>20</v>
      </c>
      <c r="I768" t="s">
        <v>646</v>
      </c>
      <c r="J768" t="s">
        <v>647</v>
      </c>
      <c r="K768">
        <v>20</v>
      </c>
      <c r="L768">
        <f t="shared" si="44"/>
        <v>900</v>
      </c>
      <c r="M768">
        <f t="shared" si="45"/>
        <v>30</v>
      </c>
      <c r="N768">
        <f t="shared" si="46"/>
        <v>60</v>
      </c>
      <c r="O768" s="5">
        <f t="shared" si="47"/>
        <v>820</v>
      </c>
    </row>
    <row r="769" spans="1:15" x14ac:dyDescent="0.3">
      <c r="A769" t="s">
        <v>797</v>
      </c>
      <c r="B769" s="3">
        <v>46079</v>
      </c>
      <c r="C769" t="s">
        <v>645</v>
      </c>
      <c r="D769" t="s">
        <v>17</v>
      </c>
      <c r="E769">
        <v>13</v>
      </c>
      <c r="F769">
        <v>300</v>
      </c>
      <c r="G769">
        <v>0.1</v>
      </c>
      <c r="H769">
        <v>20</v>
      </c>
      <c r="I769" t="s">
        <v>646</v>
      </c>
      <c r="J769" t="s">
        <v>647</v>
      </c>
      <c r="K769">
        <v>20</v>
      </c>
      <c r="L769">
        <f t="shared" si="44"/>
        <v>3900</v>
      </c>
      <c r="M769">
        <f t="shared" si="45"/>
        <v>30</v>
      </c>
      <c r="N769">
        <f t="shared" si="46"/>
        <v>260</v>
      </c>
      <c r="O769" s="5">
        <f t="shared" si="47"/>
        <v>3620</v>
      </c>
    </row>
    <row r="770" spans="1:15" x14ac:dyDescent="0.3">
      <c r="A770" t="s">
        <v>798</v>
      </c>
      <c r="B770" s="3">
        <v>46111</v>
      </c>
      <c r="C770" t="s">
        <v>645</v>
      </c>
      <c r="D770" t="s">
        <v>17</v>
      </c>
      <c r="E770">
        <v>5</v>
      </c>
      <c r="F770">
        <v>300</v>
      </c>
      <c r="G770">
        <v>0</v>
      </c>
      <c r="H770">
        <v>15</v>
      </c>
      <c r="I770" t="s">
        <v>646</v>
      </c>
      <c r="J770" t="s">
        <v>647</v>
      </c>
      <c r="K770">
        <v>20</v>
      </c>
      <c r="L770">
        <f t="shared" ref="L770:L833" si="48">E770*F770</f>
        <v>1500</v>
      </c>
      <c r="M770">
        <f t="shared" ref="M770:M833" si="49">F770*G770</f>
        <v>0</v>
      </c>
      <c r="N770">
        <f t="shared" ref="N770:N833" si="50">E770*K770</f>
        <v>100</v>
      </c>
      <c r="O770" s="5">
        <f t="shared" ref="O770:O833" si="51">L770-H770-N770</f>
        <v>1385</v>
      </c>
    </row>
    <row r="771" spans="1:15" x14ac:dyDescent="0.3">
      <c r="A771" t="s">
        <v>799</v>
      </c>
      <c r="B771" s="3">
        <v>46115</v>
      </c>
      <c r="C771" t="s">
        <v>645</v>
      </c>
      <c r="D771" t="s">
        <v>22</v>
      </c>
      <c r="E771">
        <v>2</v>
      </c>
      <c r="F771">
        <v>300</v>
      </c>
      <c r="G771">
        <v>0.2</v>
      </c>
      <c r="H771">
        <v>15</v>
      </c>
      <c r="I771" t="s">
        <v>646</v>
      </c>
      <c r="J771" t="s">
        <v>647</v>
      </c>
      <c r="K771">
        <v>20</v>
      </c>
      <c r="L771">
        <f t="shared" si="48"/>
        <v>600</v>
      </c>
      <c r="M771">
        <f t="shared" si="49"/>
        <v>60</v>
      </c>
      <c r="N771">
        <f t="shared" si="50"/>
        <v>40</v>
      </c>
      <c r="O771" s="5">
        <f t="shared" si="51"/>
        <v>545</v>
      </c>
    </row>
    <row r="772" spans="1:15" x14ac:dyDescent="0.3">
      <c r="A772" t="s">
        <v>800</v>
      </c>
      <c r="B772" s="3">
        <v>46169</v>
      </c>
      <c r="C772" t="s">
        <v>645</v>
      </c>
      <c r="D772" t="s">
        <v>22</v>
      </c>
      <c r="E772">
        <v>12</v>
      </c>
      <c r="F772">
        <v>300</v>
      </c>
      <c r="G772">
        <v>0.2</v>
      </c>
      <c r="H772">
        <v>5</v>
      </c>
      <c r="I772" t="s">
        <v>646</v>
      </c>
      <c r="J772" t="s">
        <v>647</v>
      </c>
      <c r="K772">
        <v>20</v>
      </c>
      <c r="L772">
        <f t="shared" si="48"/>
        <v>3600</v>
      </c>
      <c r="M772">
        <f t="shared" si="49"/>
        <v>60</v>
      </c>
      <c r="N772">
        <f t="shared" si="50"/>
        <v>240</v>
      </c>
      <c r="O772" s="5">
        <f t="shared" si="51"/>
        <v>3355</v>
      </c>
    </row>
    <row r="773" spans="1:15" x14ac:dyDescent="0.3">
      <c r="A773" t="s">
        <v>801</v>
      </c>
      <c r="B773" s="3">
        <v>46246</v>
      </c>
      <c r="C773" t="s">
        <v>645</v>
      </c>
      <c r="D773" t="s">
        <v>24</v>
      </c>
      <c r="E773">
        <v>11</v>
      </c>
      <c r="F773">
        <v>300</v>
      </c>
      <c r="G773">
        <v>0.1</v>
      </c>
      <c r="H773">
        <v>5</v>
      </c>
      <c r="I773" t="s">
        <v>646</v>
      </c>
      <c r="J773" t="s">
        <v>647</v>
      </c>
      <c r="K773">
        <v>20</v>
      </c>
      <c r="L773">
        <f t="shared" si="48"/>
        <v>3300</v>
      </c>
      <c r="M773">
        <f t="shared" si="49"/>
        <v>30</v>
      </c>
      <c r="N773">
        <f t="shared" si="50"/>
        <v>220</v>
      </c>
      <c r="O773" s="5">
        <f t="shared" si="51"/>
        <v>3075</v>
      </c>
    </row>
    <row r="774" spans="1:15" x14ac:dyDescent="0.3">
      <c r="A774" t="s">
        <v>802</v>
      </c>
      <c r="B774" s="3">
        <v>46118</v>
      </c>
      <c r="C774" t="s">
        <v>645</v>
      </c>
      <c r="D774" t="s">
        <v>34</v>
      </c>
      <c r="E774">
        <v>21</v>
      </c>
      <c r="F774">
        <v>300</v>
      </c>
      <c r="G774">
        <v>0.35</v>
      </c>
      <c r="H774">
        <v>10</v>
      </c>
      <c r="I774" t="s">
        <v>646</v>
      </c>
      <c r="J774" t="s">
        <v>647</v>
      </c>
      <c r="K774">
        <v>20</v>
      </c>
      <c r="L774">
        <f t="shared" si="48"/>
        <v>6300</v>
      </c>
      <c r="M774">
        <f t="shared" si="49"/>
        <v>105</v>
      </c>
      <c r="N774">
        <f t="shared" si="50"/>
        <v>420</v>
      </c>
      <c r="O774" s="5">
        <f t="shared" si="51"/>
        <v>5870</v>
      </c>
    </row>
    <row r="775" spans="1:15" x14ac:dyDescent="0.3">
      <c r="A775" t="s">
        <v>803</v>
      </c>
      <c r="B775" s="3">
        <v>46182</v>
      </c>
      <c r="C775" t="s">
        <v>645</v>
      </c>
      <c r="D775" t="s">
        <v>24</v>
      </c>
      <c r="E775">
        <v>5</v>
      </c>
      <c r="F775">
        <v>300</v>
      </c>
      <c r="G775">
        <v>0.1</v>
      </c>
      <c r="H775">
        <v>10</v>
      </c>
      <c r="I775" t="s">
        <v>646</v>
      </c>
      <c r="J775" t="s">
        <v>647</v>
      </c>
      <c r="K775">
        <v>20</v>
      </c>
      <c r="L775">
        <f t="shared" si="48"/>
        <v>1500</v>
      </c>
      <c r="M775">
        <f t="shared" si="49"/>
        <v>30</v>
      </c>
      <c r="N775">
        <f t="shared" si="50"/>
        <v>100</v>
      </c>
      <c r="O775" s="5">
        <f t="shared" si="51"/>
        <v>1390</v>
      </c>
    </row>
    <row r="776" spans="1:15" x14ac:dyDescent="0.3">
      <c r="A776" t="s">
        <v>804</v>
      </c>
      <c r="B776" s="3">
        <v>46114</v>
      </c>
      <c r="C776" t="s">
        <v>645</v>
      </c>
      <c r="D776" t="s">
        <v>17</v>
      </c>
      <c r="E776">
        <v>23</v>
      </c>
      <c r="F776">
        <v>300</v>
      </c>
      <c r="G776">
        <v>0.1</v>
      </c>
      <c r="H776">
        <v>15</v>
      </c>
      <c r="I776" t="s">
        <v>646</v>
      </c>
      <c r="J776" t="s">
        <v>647</v>
      </c>
      <c r="K776">
        <v>20</v>
      </c>
      <c r="L776">
        <f t="shared" si="48"/>
        <v>6900</v>
      </c>
      <c r="M776">
        <f t="shared" si="49"/>
        <v>30</v>
      </c>
      <c r="N776">
        <f t="shared" si="50"/>
        <v>460</v>
      </c>
      <c r="O776" s="5">
        <f t="shared" si="51"/>
        <v>6425</v>
      </c>
    </row>
    <row r="777" spans="1:15" x14ac:dyDescent="0.3">
      <c r="A777" t="s">
        <v>805</v>
      </c>
      <c r="B777" s="3">
        <v>46299</v>
      </c>
      <c r="C777" t="s">
        <v>645</v>
      </c>
      <c r="D777" t="s">
        <v>24</v>
      </c>
      <c r="E777">
        <v>7</v>
      </c>
      <c r="F777">
        <v>300</v>
      </c>
      <c r="G777">
        <v>0.35</v>
      </c>
      <c r="H777">
        <v>20</v>
      </c>
      <c r="I777" t="s">
        <v>646</v>
      </c>
      <c r="J777" t="s">
        <v>647</v>
      </c>
      <c r="K777">
        <v>20</v>
      </c>
      <c r="L777">
        <f t="shared" si="48"/>
        <v>2100</v>
      </c>
      <c r="M777">
        <f t="shared" si="49"/>
        <v>105</v>
      </c>
      <c r="N777">
        <f t="shared" si="50"/>
        <v>140</v>
      </c>
      <c r="O777" s="5">
        <f t="shared" si="51"/>
        <v>1940</v>
      </c>
    </row>
    <row r="778" spans="1:15" x14ac:dyDescent="0.3">
      <c r="A778" t="s">
        <v>806</v>
      </c>
      <c r="B778" s="3">
        <v>46222</v>
      </c>
      <c r="C778" t="s">
        <v>645</v>
      </c>
      <c r="D778" t="s">
        <v>17</v>
      </c>
      <c r="E778">
        <v>22</v>
      </c>
      <c r="F778">
        <v>300</v>
      </c>
      <c r="G778">
        <v>0.2</v>
      </c>
      <c r="H778">
        <v>10</v>
      </c>
      <c r="I778" t="s">
        <v>646</v>
      </c>
      <c r="J778" t="s">
        <v>647</v>
      </c>
      <c r="K778">
        <v>20</v>
      </c>
      <c r="L778">
        <f t="shared" si="48"/>
        <v>6600</v>
      </c>
      <c r="M778">
        <f t="shared" si="49"/>
        <v>60</v>
      </c>
      <c r="N778">
        <f t="shared" si="50"/>
        <v>440</v>
      </c>
      <c r="O778" s="5">
        <f t="shared" si="51"/>
        <v>6150</v>
      </c>
    </row>
    <row r="779" spans="1:15" x14ac:dyDescent="0.3">
      <c r="A779" t="s">
        <v>807</v>
      </c>
      <c r="B779" s="3">
        <v>46370</v>
      </c>
      <c r="C779" t="s">
        <v>645</v>
      </c>
      <c r="D779" t="s">
        <v>34</v>
      </c>
      <c r="E779">
        <v>23</v>
      </c>
      <c r="F779">
        <v>300</v>
      </c>
      <c r="G779">
        <v>0.2</v>
      </c>
      <c r="H779">
        <v>20</v>
      </c>
      <c r="I779" t="s">
        <v>646</v>
      </c>
      <c r="J779" t="s">
        <v>647</v>
      </c>
      <c r="K779">
        <v>20</v>
      </c>
      <c r="L779">
        <f t="shared" si="48"/>
        <v>6900</v>
      </c>
      <c r="M779">
        <f t="shared" si="49"/>
        <v>60</v>
      </c>
      <c r="N779">
        <f t="shared" si="50"/>
        <v>460</v>
      </c>
      <c r="O779" s="5">
        <f t="shared" si="51"/>
        <v>6420</v>
      </c>
    </row>
    <row r="780" spans="1:15" x14ac:dyDescent="0.3">
      <c r="A780" t="s">
        <v>808</v>
      </c>
      <c r="B780" s="3">
        <v>46329</v>
      </c>
      <c r="C780" t="s">
        <v>645</v>
      </c>
      <c r="D780" t="s">
        <v>24</v>
      </c>
      <c r="E780">
        <v>12</v>
      </c>
      <c r="F780">
        <v>300</v>
      </c>
      <c r="G780">
        <v>0.2</v>
      </c>
      <c r="H780">
        <v>10</v>
      </c>
      <c r="I780" t="s">
        <v>646</v>
      </c>
      <c r="J780" t="s">
        <v>647</v>
      </c>
      <c r="K780">
        <v>20</v>
      </c>
      <c r="L780">
        <f t="shared" si="48"/>
        <v>3600</v>
      </c>
      <c r="M780">
        <f t="shared" si="49"/>
        <v>60</v>
      </c>
      <c r="N780">
        <f t="shared" si="50"/>
        <v>240</v>
      </c>
      <c r="O780" s="5">
        <f t="shared" si="51"/>
        <v>3350</v>
      </c>
    </row>
    <row r="781" spans="1:15" x14ac:dyDescent="0.3">
      <c r="A781" t="s">
        <v>809</v>
      </c>
      <c r="B781" s="3">
        <v>46100</v>
      </c>
      <c r="C781" t="s">
        <v>645</v>
      </c>
      <c r="D781" t="s">
        <v>34</v>
      </c>
      <c r="E781">
        <v>15</v>
      </c>
      <c r="F781">
        <v>300</v>
      </c>
      <c r="G781">
        <v>0</v>
      </c>
      <c r="H781">
        <v>15</v>
      </c>
      <c r="I781" t="s">
        <v>646</v>
      </c>
      <c r="J781" t="s">
        <v>647</v>
      </c>
      <c r="K781">
        <v>20</v>
      </c>
      <c r="L781">
        <f t="shared" si="48"/>
        <v>4500</v>
      </c>
      <c r="M781">
        <f t="shared" si="49"/>
        <v>0</v>
      </c>
      <c r="N781">
        <f t="shared" si="50"/>
        <v>300</v>
      </c>
      <c r="O781" s="5">
        <f t="shared" si="51"/>
        <v>4185</v>
      </c>
    </row>
    <row r="782" spans="1:15" x14ac:dyDescent="0.3">
      <c r="A782" t="s">
        <v>810</v>
      </c>
      <c r="B782" s="3">
        <v>46162</v>
      </c>
      <c r="C782" t="s">
        <v>645</v>
      </c>
      <c r="D782" t="s">
        <v>34</v>
      </c>
      <c r="E782">
        <v>17</v>
      </c>
      <c r="F782">
        <v>300</v>
      </c>
      <c r="G782">
        <v>0.35</v>
      </c>
      <c r="H782">
        <v>5</v>
      </c>
      <c r="I782" t="s">
        <v>646</v>
      </c>
      <c r="J782" t="s">
        <v>647</v>
      </c>
      <c r="K782">
        <v>20</v>
      </c>
      <c r="L782">
        <f t="shared" si="48"/>
        <v>5100</v>
      </c>
      <c r="M782">
        <f t="shared" si="49"/>
        <v>105</v>
      </c>
      <c r="N782">
        <f t="shared" si="50"/>
        <v>340</v>
      </c>
      <c r="O782" s="5">
        <f t="shared" si="51"/>
        <v>4755</v>
      </c>
    </row>
    <row r="783" spans="1:15" x14ac:dyDescent="0.3">
      <c r="A783" t="s">
        <v>811</v>
      </c>
      <c r="B783" s="3">
        <v>46127</v>
      </c>
      <c r="C783" t="s">
        <v>645</v>
      </c>
      <c r="D783" t="s">
        <v>34</v>
      </c>
      <c r="E783">
        <v>20</v>
      </c>
      <c r="F783">
        <v>300</v>
      </c>
      <c r="G783">
        <v>0</v>
      </c>
      <c r="H783">
        <v>20</v>
      </c>
      <c r="I783" t="s">
        <v>646</v>
      </c>
      <c r="J783" t="s">
        <v>647</v>
      </c>
      <c r="K783">
        <v>20</v>
      </c>
      <c r="L783">
        <f t="shared" si="48"/>
        <v>6000</v>
      </c>
      <c r="M783">
        <f t="shared" si="49"/>
        <v>0</v>
      </c>
      <c r="N783">
        <f t="shared" si="50"/>
        <v>400</v>
      </c>
      <c r="O783" s="5">
        <f t="shared" si="51"/>
        <v>5580</v>
      </c>
    </row>
    <row r="784" spans="1:15" x14ac:dyDescent="0.3">
      <c r="A784" t="s">
        <v>812</v>
      </c>
      <c r="B784" s="3">
        <v>46366</v>
      </c>
      <c r="C784" t="s">
        <v>645</v>
      </c>
      <c r="D784" t="s">
        <v>24</v>
      </c>
      <c r="E784">
        <v>11</v>
      </c>
      <c r="F784">
        <v>300</v>
      </c>
      <c r="G784">
        <v>0.1</v>
      </c>
      <c r="H784">
        <v>15</v>
      </c>
      <c r="I784" t="s">
        <v>646</v>
      </c>
      <c r="J784" t="s">
        <v>647</v>
      </c>
      <c r="K784">
        <v>20</v>
      </c>
      <c r="L784">
        <f t="shared" si="48"/>
        <v>3300</v>
      </c>
      <c r="M784">
        <f t="shared" si="49"/>
        <v>30</v>
      </c>
      <c r="N784">
        <f t="shared" si="50"/>
        <v>220</v>
      </c>
      <c r="O784" s="5">
        <f t="shared" si="51"/>
        <v>3065</v>
      </c>
    </row>
    <row r="785" spans="1:15" x14ac:dyDescent="0.3">
      <c r="A785" t="s">
        <v>813</v>
      </c>
      <c r="B785" s="3">
        <v>46028</v>
      </c>
      <c r="C785" t="s">
        <v>645</v>
      </c>
      <c r="D785" t="s">
        <v>17</v>
      </c>
      <c r="E785">
        <v>3</v>
      </c>
      <c r="F785">
        <v>300</v>
      </c>
      <c r="G785">
        <v>0</v>
      </c>
      <c r="H785">
        <v>10</v>
      </c>
      <c r="I785" t="s">
        <v>646</v>
      </c>
      <c r="J785" t="s">
        <v>647</v>
      </c>
      <c r="K785">
        <v>20</v>
      </c>
      <c r="L785">
        <f t="shared" si="48"/>
        <v>900</v>
      </c>
      <c r="M785">
        <f t="shared" si="49"/>
        <v>0</v>
      </c>
      <c r="N785">
        <f t="shared" si="50"/>
        <v>60</v>
      </c>
      <c r="O785" s="5">
        <f t="shared" si="51"/>
        <v>830</v>
      </c>
    </row>
    <row r="786" spans="1:15" x14ac:dyDescent="0.3">
      <c r="A786" t="s">
        <v>814</v>
      </c>
      <c r="B786" s="3">
        <v>46175</v>
      </c>
      <c r="C786" t="s">
        <v>645</v>
      </c>
      <c r="D786" t="s">
        <v>17</v>
      </c>
      <c r="E786">
        <v>12</v>
      </c>
      <c r="F786">
        <v>300</v>
      </c>
      <c r="G786">
        <v>0.1</v>
      </c>
      <c r="H786">
        <v>20</v>
      </c>
      <c r="I786" t="s">
        <v>646</v>
      </c>
      <c r="J786" t="s">
        <v>647</v>
      </c>
      <c r="K786">
        <v>20</v>
      </c>
      <c r="L786">
        <f t="shared" si="48"/>
        <v>3600</v>
      </c>
      <c r="M786">
        <f t="shared" si="49"/>
        <v>30</v>
      </c>
      <c r="N786">
        <f t="shared" si="50"/>
        <v>240</v>
      </c>
      <c r="O786" s="5">
        <f t="shared" si="51"/>
        <v>3340</v>
      </c>
    </row>
    <row r="787" spans="1:15" x14ac:dyDescent="0.3">
      <c r="A787" t="s">
        <v>815</v>
      </c>
      <c r="B787" s="3">
        <v>46262</v>
      </c>
      <c r="C787" t="s">
        <v>645</v>
      </c>
      <c r="D787" t="s">
        <v>24</v>
      </c>
      <c r="E787">
        <v>22</v>
      </c>
      <c r="F787">
        <v>300</v>
      </c>
      <c r="G787">
        <v>0.1</v>
      </c>
      <c r="H787">
        <v>5</v>
      </c>
      <c r="I787" t="s">
        <v>646</v>
      </c>
      <c r="J787" t="s">
        <v>647</v>
      </c>
      <c r="K787">
        <v>20</v>
      </c>
      <c r="L787">
        <f t="shared" si="48"/>
        <v>6600</v>
      </c>
      <c r="M787">
        <f t="shared" si="49"/>
        <v>30</v>
      </c>
      <c r="N787">
        <f t="shared" si="50"/>
        <v>440</v>
      </c>
      <c r="O787" s="5">
        <f t="shared" si="51"/>
        <v>6155</v>
      </c>
    </row>
    <row r="788" spans="1:15" x14ac:dyDescent="0.3">
      <c r="A788" t="s">
        <v>816</v>
      </c>
      <c r="B788" s="3">
        <v>46043</v>
      </c>
      <c r="C788" t="s">
        <v>645</v>
      </c>
      <c r="D788" t="s">
        <v>34</v>
      </c>
      <c r="E788">
        <v>23</v>
      </c>
      <c r="F788">
        <v>300</v>
      </c>
      <c r="G788">
        <v>0.35</v>
      </c>
      <c r="H788">
        <v>20</v>
      </c>
      <c r="I788" t="s">
        <v>646</v>
      </c>
      <c r="J788" t="s">
        <v>647</v>
      </c>
      <c r="K788">
        <v>20</v>
      </c>
      <c r="L788">
        <f t="shared" si="48"/>
        <v>6900</v>
      </c>
      <c r="M788">
        <f t="shared" si="49"/>
        <v>105</v>
      </c>
      <c r="N788">
        <f t="shared" si="50"/>
        <v>460</v>
      </c>
      <c r="O788" s="5">
        <f t="shared" si="51"/>
        <v>6420</v>
      </c>
    </row>
    <row r="789" spans="1:15" x14ac:dyDescent="0.3">
      <c r="A789" t="s">
        <v>817</v>
      </c>
      <c r="B789" s="3">
        <v>46075</v>
      </c>
      <c r="C789" t="s">
        <v>645</v>
      </c>
      <c r="D789" t="s">
        <v>17</v>
      </c>
      <c r="E789">
        <v>12</v>
      </c>
      <c r="F789">
        <v>300</v>
      </c>
      <c r="G789">
        <v>0</v>
      </c>
      <c r="H789">
        <v>20</v>
      </c>
      <c r="I789" t="s">
        <v>646</v>
      </c>
      <c r="J789" t="s">
        <v>647</v>
      </c>
      <c r="K789">
        <v>20</v>
      </c>
      <c r="L789">
        <f t="shared" si="48"/>
        <v>3600</v>
      </c>
      <c r="M789">
        <f t="shared" si="49"/>
        <v>0</v>
      </c>
      <c r="N789">
        <f t="shared" si="50"/>
        <v>240</v>
      </c>
      <c r="O789" s="5">
        <f t="shared" si="51"/>
        <v>3340</v>
      </c>
    </row>
    <row r="790" spans="1:15" x14ac:dyDescent="0.3">
      <c r="A790" t="s">
        <v>818</v>
      </c>
      <c r="B790" s="3">
        <v>46162</v>
      </c>
      <c r="C790" t="s">
        <v>645</v>
      </c>
      <c r="D790" t="s">
        <v>24</v>
      </c>
      <c r="E790">
        <v>7</v>
      </c>
      <c r="F790">
        <v>300</v>
      </c>
      <c r="G790">
        <v>0.2</v>
      </c>
      <c r="H790">
        <v>10</v>
      </c>
      <c r="I790" t="s">
        <v>646</v>
      </c>
      <c r="J790" t="s">
        <v>647</v>
      </c>
      <c r="K790">
        <v>20</v>
      </c>
      <c r="L790">
        <f t="shared" si="48"/>
        <v>2100</v>
      </c>
      <c r="M790">
        <f t="shared" si="49"/>
        <v>60</v>
      </c>
      <c r="N790">
        <f t="shared" si="50"/>
        <v>140</v>
      </c>
      <c r="O790" s="5">
        <f t="shared" si="51"/>
        <v>1950</v>
      </c>
    </row>
    <row r="791" spans="1:15" x14ac:dyDescent="0.3">
      <c r="A791" t="s">
        <v>819</v>
      </c>
      <c r="B791" s="3">
        <v>46287</v>
      </c>
      <c r="C791" t="s">
        <v>645</v>
      </c>
      <c r="D791" t="s">
        <v>22</v>
      </c>
      <c r="E791">
        <v>6</v>
      </c>
      <c r="F791">
        <v>300</v>
      </c>
      <c r="G791">
        <v>0.1</v>
      </c>
      <c r="H791">
        <v>5</v>
      </c>
      <c r="I791" t="s">
        <v>646</v>
      </c>
      <c r="J791" t="s">
        <v>647</v>
      </c>
      <c r="K791">
        <v>20</v>
      </c>
      <c r="L791">
        <f t="shared" si="48"/>
        <v>1800</v>
      </c>
      <c r="M791">
        <f t="shared" si="49"/>
        <v>30</v>
      </c>
      <c r="N791">
        <f t="shared" si="50"/>
        <v>120</v>
      </c>
      <c r="O791" s="5">
        <f t="shared" si="51"/>
        <v>1675</v>
      </c>
    </row>
    <row r="792" spans="1:15" x14ac:dyDescent="0.3">
      <c r="A792" t="s">
        <v>820</v>
      </c>
      <c r="B792" s="3">
        <v>46257</v>
      </c>
      <c r="C792" t="s">
        <v>645</v>
      </c>
      <c r="D792" t="s">
        <v>22</v>
      </c>
      <c r="E792">
        <v>21</v>
      </c>
      <c r="F792">
        <v>300</v>
      </c>
      <c r="G792">
        <v>0.2</v>
      </c>
      <c r="H792">
        <v>5</v>
      </c>
      <c r="I792" t="s">
        <v>646</v>
      </c>
      <c r="J792" t="s">
        <v>647</v>
      </c>
      <c r="K792">
        <v>20</v>
      </c>
      <c r="L792">
        <f t="shared" si="48"/>
        <v>6300</v>
      </c>
      <c r="M792">
        <f t="shared" si="49"/>
        <v>60</v>
      </c>
      <c r="N792">
        <f t="shared" si="50"/>
        <v>420</v>
      </c>
      <c r="O792" s="5">
        <f t="shared" si="51"/>
        <v>5875</v>
      </c>
    </row>
    <row r="793" spans="1:15" x14ac:dyDescent="0.3">
      <c r="A793" t="s">
        <v>821</v>
      </c>
      <c r="B793" s="3">
        <v>46245</v>
      </c>
      <c r="C793" t="s">
        <v>645</v>
      </c>
      <c r="D793" t="s">
        <v>22</v>
      </c>
      <c r="E793">
        <v>19</v>
      </c>
      <c r="F793">
        <v>300</v>
      </c>
      <c r="G793">
        <v>0.2</v>
      </c>
      <c r="H793">
        <v>20</v>
      </c>
      <c r="I793" t="s">
        <v>646</v>
      </c>
      <c r="J793" t="s">
        <v>647</v>
      </c>
      <c r="K793">
        <v>20</v>
      </c>
      <c r="L793">
        <f t="shared" si="48"/>
        <v>5700</v>
      </c>
      <c r="M793">
        <f t="shared" si="49"/>
        <v>60</v>
      </c>
      <c r="N793">
        <f t="shared" si="50"/>
        <v>380</v>
      </c>
      <c r="O793" s="5">
        <f t="shared" si="51"/>
        <v>5300</v>
      </c>
    </row>
    <row r="794" spans="1:15" x14ac:dyDescent="0.3">
      <c r="A794" t="s">
        <v>822</v>
      </c>
      <c r="B794" s="3">
        <v>46382</v>
      </c>
      <c r="C794" t="s">
        <v>645</v>
      </c>
      <c r="D794" t="s">
        <v>17</v>
      </c>
      <c r="E794">
        <v>5</v>
      </c>
      <c r="F794">
        <v>300</v>
      </c>
      <c r="G794">
        <v>0.2</v>
      </c>
      <c r="H794">
        <v>20</v>
      </c>
      <c r="I794" t="s">
        <v>646</v>
      </c>
      <c r="J794" t="s">
        <v>647</v>
      </c>
      <c r="K794">
        <v>20</v>
      </c>
      <c r="L794">
        <f t="shared" si="48"/>
        <v>1500</v>
      </c>
      <c r="M794">
        <f t="shared" si="49"/>
        <v>60</v>
      </c>
      <c r="N794">
        <f t="shared" si="50"/>
        <v>100</v>
      </c>
      <c r="O794" s="5">
        <f t="shared" si="51"/>
        <v>1380</v>
      </c>
    </row>
    <row r="795" spans="1:15" x14ac:dyDescent="0.3">
      <c r="A795" t="s">
        <v>823</v>
      </c>
      <c r="B795" s="3">
        <v>46143</v>
      </c>
      <c r="C795" t="s">
        <v>645</v>
      </c>
      <c r="D795" t="s">
        <v>22</v>
      </c>
      <c r="E795">
        <v>15</v>
      </c>
      <c r="F795">
        <v>300</v>
      </c>
      <c r="G795">
        <v>0</v>
      </c>
      <c r="H795">
        <v>20</v>
      </c>
      <c r="I795" t="s">
        <v>646</v>
      </c>
      <c r="J795" t="s">
        <v>647</v>
      </c>
      <c r="K795">
        <v>20</v>
      </c>
      <c r="L795">
        <f t="shared" si="48"/>
        <v>4500</v>
      </c>
      <c r="M795">
        <f t="shared" si="49"/>
        <v>0</v>
      </c>
      <c r="N795">
        <f t="shared" si="50"/>
        <v>300</v>
      </c>
      <c r="O795" s="5">
        <f t="shared" si="51"/>
        <v>4180</v>
      </c>
    </row>
    <row r="796" spans="1:15" x14ac:dyDescent="0.3">
      <c r="A796" t="s">
        <v>824</v>
      </c>
      <c r="B796" s="3">
        <v>46142</v>
      </c>
      <c r="C796" t="s">
        <v>645</v>
      </c>
      <c r="D796" t="s">
        <v>24</v>
      </c>
      <c r="E796">
        <v>12</v>
      </c>
      <c r="F796">
        <v>300</v>
      </c>
      <c r="G796">
        <v>0.35</v>
      </c>
      <c r="H796">
        <v>10</v>
      </c>
      <c r="I796" t="s">
        <v>646</v>
      </c>
      <c r="J796" t="s">
        <v>647</v>
      </c>
      <c r="K796">
        <v>20</v>
      </c>
      <c r="L796">
        <f t="shared" si="48"/>
        <v>3600</v>
      </c>
      <c r="M796">
        <f t="shared" si="49"/>
        <v>105</v>
      </c>
      <c r="N796">
        <f t="shared" si="50"/>
        <v>240</v>
      </c>
      <c r="O796" s="5">
        <f t="shared" si="51"/>
        <v>3350</v>
      </c>
    </row>
    <row r="797" spans="1:15" x14ac:dyDescent="0.3">
      <c r="A797" t="s">
        <v>825</v>
      </c>
      <c r="B797" s="3">
        <v>46073</v>
      </c>
      <c r="C797" t="s">
        <v>645</v>
      </c>
      <c r="D797" t="s">
        <v>22</v>
      </c>
      <c r="E797">
        <v>4</v>
      </c>
      <c r="F797">
        <v>300</v>
      </c>
      <c r="G797">
        <v>0.35</v>
      </c>
      <c r="H797">
        <v>20</v>
      </c>
      <c r="I797" t="s">
        <v>646</v>
      </c>
      <c r="J797" t="s">
        <v>647</v>
      </c>
      <c r="K797">
        <v>20</v>
      </c>
      <c r="L797">
        <f t="shared" si="48"/>
        <v>1200</v>
      </c>
      <c r="M797">
        <f t="shared" si="49"/>
        <v>105</v>
      </c>
      <c r="N797">
        <f t="shared" si="50"/>
        <v>80</v>
      </c>
      <c r="O797" s="5">
        <f t="shared" si="51"/>
        <v>1100</v>
      </c>
    </row>
    <row r="798" spans="1:15" x14ac:dyDescent="0.3">
      <c r="A798" t="s">
        <v>826</v>
      </c>
      <c r="B798" s="3">
        <v>46054</v>
      </c>
      <c r="C798" t="s">
        <v>645</v>
      </c>
      <c r="D798" t="s">
        <v>22</v>
      </c>
      <c r="E798">
        <v>6</v>
      </c>
      <c r="F798">
        <v>300</v>
      </c>
      <c r="G798">
        <v>0.2</v>
      </c>
      <c r="H798">
        <v>20</v>
      </c>
      <c r="I798" t="s">
        <v>646</v>
      </c>
      <c r="J798" t="s">
        <v>647</v>
      </c>
      <c r="K798">
        <v>20</v>
      </c>
      <c r="L798">
        <f t="shared" si="48"/>
        <v>1800</v>
      </c>
      <c r="M798">
        <f t="shared" si="49"/>
        <v>60</v>
      </c>
      <c r="N798">
        <f t="shared" si="50"/>
        <v>120</v>
      </c>
      <c r="O798" s="5">
        <f t="shared" si="51"/>
        <v>1660</v>
      </c>
    </row>
    <row r="799" spans="1:15" x14ac:dyDescent="0.3">
      <c r="A799" t="s">
        <v>827</v>
      </c>
      <c r="B799" s="3">
        <v>46194</v>
      </c>
      <c r="C799" t="s">
        <v>645</v>
      </c>
      <c r="D799" t="s">
        <v>17</v>
      </c>
      <c r="E799">
        <v>14</v>
      </c>
      <c r="F799">
        <v>300</v>
      </c>
      <c r="G799">
        <v>0.1</v>
      </c>
      <c r="H799">
        <v>10</v>
      </c>
      <c r="I799" t="s">
        <v>646</v>
      </c>
      <c r="J799" t="s">
        <v>647</v>
      </c>
      <c r="K799">
        <v>20</v>
      </c>
      <c r="L799">
        <f t="shared" si="48"/>
        <v>4200</v>
      </c>
      <c r="M799">
        <f t="shared" si="49"/>
        <v>30</v>
      </c>
      <c r="N799">
        <f t="shared" si="50"/>
        <v>280</v>
      </c>
      <c r="O799" s="5">
        <f t="shared" si="51"/>
        <v>3910</v>
      </c>
    </row>
    <row r="800" spans="1:15" x14ac:dyDescent="0.3">
      <c r="A800" t="s">
        <v>828</v>
      </c>
      <c r="B800" s="3">
        <v>46296</v>
      </c>
      <c r="C800" t="s">
        <v>645</v>
      </c>
      <c r="D800" t="s">
        <v>22</v>
      </c>
      <c r="E800">
        <v>15</v>
      </c>
      <c r="F800">
        <v>300</v>
      </c>
      <c r="G800">
        <v>0.35</v>
      </c>
      <c r="H800">
        <v>20</v>
      </c>
      <c r="I800" t="s">
        <v>646</v>
      </c>
      <c r="J800" t="s">
        <v>647</v>
      </c>
      <c r="K800">
        <v>20</v>
      </c>
      <c r="L800">
        <f t="shared" si="48"/>
        <v>4500</v>
      </c>
      <c r="M800">
        <f t="shared" si="49"/>
        <v>105</v>
      </c>
      <c r="N800">
        <f t="shared" si="50"/>
        <v>300</v>
      </c>
      <c r="O800" s="5">
        <f t="shared" si="51"/>
        <v>4180</v>
      </c>
    </row>
    <row r="801" spans="1:15" x14ac:dyDescent="0.3">
      <c r="A801" t="s">
        <v>829</v>
      </c>
      <c r="B801" s="3">
        <v>46041</v>
      </c>
      <c r="C801" t="s">
        <v>645</v>
      </c>
      <c r="D801" t="s">
        <v>34</v>
      </c>
      <c r="E801">
        <v>12</v>
      </c>
      <c r="F801">
        <v>300</v>
      </c>
      <c r="G801">
        <v>0.1</v>
      </c>
      <c r="H801">
        <v>15</v>
      </c>
      <c r="I801" t="s">
        <v>646</v>
      </c>
      <c r="J801" t="s">
        <v>647</v>
      </c>
      <c r="K801">
        <v>20</v>
      </c>
      <c r="L801">
        <f t="shared" si="48"/>
        <v>3600</v>
      </c>
      <c r="M801">
        <f t="shared" si="49"/>
        <v>30</v>
      </c>
      <c r="N801">
        <f t="shared" si="50"/>
        <v>240</v>
      </c>
      <c r="O801" s="5">
        <f t="shared" si="51"/>
        <v>3345</v>
      </c>
    </row>
    <row r="802" spans="1:15" x14ac:dyDescent="0.3">
      <c r="A802" t="s">
        <v>830</v>
      </c>
      <c r="B802" s="3">
        <v>46366</v>
      </c>
      <c r="C802" t="s">
        <v>645</v>
      </c>
      <c r="D802" t="s">
        <v>22</v>
      </c>
      <c r="E802">
        <v>19</v>
      </c>
      <c r="F802">
        <v>300</v>
      </c>
      <c r="G802">
        <v>0.35</v>
      </c>
      <c r="H802">
        <v>10</v>
      </c>
      <c r="I802" t="s">
        <v>646</v>
      </c>
      <c r="J802" t="s">
        <v>647</v>
      </c>
      <c r="K802">
        <v>20</v>
      </c>
      <c r="L802">
        <f t="shared" si="48"/>
        <v>5700</v>
      </c>
      <c r="M802">
        <f t="shared" si="49"/>
        <v>105</v>
      </c>
      <c r="N802">
        <f t="shared" si="50"/>
        <v>380</v>
      </c>
      <c r="O802" s="5">
        <f t="shared" si="51"/>
        <v>5310</v>
      </c>
    </row>
    <row r="803" spans="1:15" x14ac:dyDescent="0.3">
      <c r="A803" t="s">
        <v>831</v>
      </c>
      <c r="B803" s="3">
        <v>46180</v>
      </c>
      <c r="C803" t="s">
        <v>645</v>
      </c>
      <c r="D803" t="s">
        <v>22</v>
      </c>
      <c r="E803">
        <v>12</v>
      </c>
      <c r="F803">
        <v>300</v>
      </c>
      <c r="G803">
        <v>0.1</v>
      </c>
      <c r="H803">
        <v>20</v>
      </c>
      <c r="I803" t="s">
        <v>646</v>
      </c>
      <c r="J803" t="s">
        <v>647</v>
      </c>
      <c r="K803">
        <v>20</v>
      </c>
      <c r="L803">
        <f t="shared" si="48"/>
        <v>3600</v>
      </c>
      <c r="M803">
        <f t="shared" si="49"/>
        <v>30</v>
      </c>
      <c r="N803">
        <f t="shared" si="50"/>
        <v>240</v>
      </c>
      <c r="O803" s="5">
        <f t="shared" si="51"/>
        <v>3340</v>
      </c>
    </row>
    <row r="804" spans="1:15" x14ac:dyDescent="0.3">
      <c r="A804" t="s">
        <v>832</v>
      </c>
      <c r="B804" s="3">
        <v>46078</v>
      </c>
      <c r="C804" t="s">
        <v>645</v>
      </c>
      <c r="D804" t="s">
        <v>17</v>
      </c>
      <c r="E804">
        <v>16</v>
      </c>
      <c r="F804">
        <v>300</v>
      </c>
      <c r="G804">
        <v>0</v>
      </c>
      <c r="H804">
        <v>15</v>
      </c>
      <c r="I804" t="s">
        <v>646</v>
      </c>
      <c r="J804" t="s">
        <v>647</v>
      </c>
      <c r="K804">
        <v>20</v>
      </c>
      <c r="L804">
        <f t="shared" si="48"/>
        <v>4800</v>
      </c>
      <c r="M804">
        <f t="shared" si="49"/>
        <v>0</v>
      </c>
      <c r="N804">
        <f t="shared" si="50"/>
        <v>320</v>
      </c>
      <c r="O804" s="5">
        <f t="shared" si="51"/>
        <v>4465</v>
      </c>
    </row>
    <row r="805" spans="1:15" x14ac:dyDescent="0.3">
      <c r="A805" t="s">
        <v>833</v>
      </c>
      <c r="B805" s="3">
        <v>46266</v>
      </c>
      <c r="C805" t="s">
        <v>645</v>
      </c>
      <c r="D805" t="s">
        <v>17</v>
      </c>
      <c r="E805">
        <v>19</v>
      </c>
      <c r="F805">
        <v>300</v>
      </c>
      <c r="G805">
        <v>0.2</v>
      </c>
      <c r="H805">
        <v>10</v>
      </c>
      <c r="I805" t="s">
        <v>646</v>
      </c>
      <c r="J805" t="s">
        <v>647</v>
      </c>
      <c r="K805">
        <v>20</v>
      </c>
      <c r="L805">
        <f t="shared" si="48"/>
        <v>5700</v>
      </c>
      <c r="M805">
        <f t="shared" si="49"/>
        <v>60</v>
      </c>
      <c r="N805">
        <f t="shared" si="50"/>
        <v>380</v>
      </c>
      <c r="O805" s="5">
        <f t="shared" si="51"/>
        <v>5310</v>
      </c>
    </row>
    <row r="806" spans="1:15" x14ac:dyDescent="0.3">
      <c r="A806" t="s">
        <v>834</v>
      </c>
      <c r="B806" s="3">
        <v>46173</v>
      </c>
      <c r="C806" t="s">
        <v>835</v>
      </c>
      <c r="D806" t="s">
        <v>22</v>
      </c>
      <c r="E806">
        <v>20</v>
      </c>
      <c r="F806">
        <v>50</v>
      </c>
      <c r="G806">
        <v>0</v>
      </c>
      <c r="H806">
        <v>10</v>
      </c>
      <c r="I806" t="s">
        <v>836</v>
      </c>
      <c r="J806" t="s">
        <v>19</v>
      </c>
      <c r="K806">
        <v>15</v>
      </c>
      <c r="L806">
        <f t="shared" si="48"/>
        <v>1000</v>
      </c>
      <c r="M806">
        <f t="shared" si="49"/>
        <v>0</v>
      </c>
      <c r="N806">
        <f t="shared" si="50"/>
        <v>300</v>
      </c>
      <c r="O806" s="5">
        <f t="shared" si="51"/>
        <v>690</v>
      </c>
    </row>
    <row r="807" spans="1:15" x14ac:dyDescent="0.3">
      <c r="A807" t="s">
        <v>837</v>
      </c>
      <c r="B807" s="3">
        <v>46109</v>
      </c>
      <c r="C807" t="s">
        <v>835</v>
      </c>
      <c r="D807" t="s">
        <v>22</v>
      </c>
      <c r="E807">
        <v>4</v>
      </c>
      <c r="F807">
        <v>50</v>
      </c>
      <c r="G807">
        <v>0.35</v>
      </c>
      <c r="H807">
        <v>5</v>
      </c>
      <c r="I807" t="s">
        <v>836</v>
      </c>
      <c r="J807" t="s">
        <v>19</v>
      </c>
      <c r="K807">
        <v>15</v>
      </c>
      <c r="L807">
        <f t="shared" si="48"/>
        <v>200</v>
      </c>
      <c r="M807">
        <f t="shared" si="49"/>
        <v>17.5</v>
      </c>
      <c r="N807">
        <f t="shared" si="50"/>
        <v>60</v>
      </c>
      <c r="O807" s="5">
        <f t="shared" si="51"/>
        <v>135</v>
      </c>
    </row>
    <row r="808" spans="1:15" x14ac:dyDescent="0.3">
      <c r="A808" t="s">
        <v>838</v>
      </c>
      <c r="B808" s="3">
        <v>46045</v>
      </c>
      <c r="C808" t="s">
        <v>835</v>
      </c>
      <c r="D808" t="s">
        <v>17</v>
      </c>
      <c r="E808">
        <v>18</v>
      </c>
      <c r="F808">
        <v>50</v>
      </c>
      <c r="G808">
        <v>0.35</v>
      </c>
      <c r="H808">
        <v>10</v>
      </c>
      <c r="I808" t="s">
        <v>836</v>
      </c>
      <c r="J808" t="s">
        <v>19</v>
      </c>
      <c r="K808">
        <v>15</v>
      </c>
      <c r="L808">
        <f t="shared" si="48"/>
        <v>900</v>
      </c>
      <c r="M808">
        <f t="shared" si="49"/>
        <v>17.5</v>
      </c>
      <c r="N808">
        <f t="shared" si="50"/>
        <v>270</v>
      </c>
      <c r="O808" s="5">
        <f t="shared" si="51"/>
        <v>620</v>
      </c>
    </row>
    <row r="809" spans="1:15" x14ac:dyDescent="0.3">
      <c r="A809" t="s">
        <v>839</v>
      </c>
      <c r="B809" s="3">
        <v>46062</v>
      </c>
      <c r="C809" t="s">
        <v>835</v>
      </c>
      <c r="D809" t="s">
        <v>17</v>
      </c>
      <c r="E809">
        <v>23</v>
      </c>
      <c r="F809">
        <v>50</v>
      </c>
      <c r="G809">
        <v>0.35</v>
      </c>
      <c r="H809">
        <v>10</v>
      </c>
      <c r="I809" t="s">
        <v>836</v>
      </c>
      <c r="J809" t="s">
        <v>19</v>
      </c>
      <c r="K809">
        <v>15</v>
      </c>
      <c r="L809">
        <f t="shared" si="48"/>
        <v>1150</v>
      </c>
      <c r="M809">
        <f t="shared" si="49"/>
        <v>17.5</v>
      </c>
      <c r="N809">
        <f t="shared" si="50"/>
        <v>345</v>
      </c>
      <c r="O809" s="5">
        <f t="shared" si="51"/>
        <v>795</v>
      </c>
    </row>
    <row r="810" spans="1:15" x14ac:dyDescent="0.3">
      <c r="A810" t="s">
        <v>840</v>
      </c>
      <c r="B810" s="3">
        <v>46134</v>
      </c>
      <c r="C810" t="s">
        <v>835</v>
      </c>
      <c r="D810" t="s">
        <v>24</v>
      </c>
      <c r="E810">
        <v>7</v>
      </c>
      <c r="F810">
        <v>50</v>
      </c>
      <c r="G810">
        <v>0</v>
      </c>
      <c r="H810">
        <v>5</v>
      </c>
      <c r="I810" t="s">
        <v>836</v>
      </c>
      <c r="J810" t="s">
        <v>19</v>
      </c>
      <c r="K810">
        <v>15</v>
      </c>
      <c r="L810">
        <f t="shared" si="48"/>
        <v>350</v>
      </c>
      <c r="M810">
        <f t="shared" si="49"/>
        <v>0</v>
      </c>
      <c r="N810">
        <f t="shared" si="50"/>
        <v>105</v>
      </c>
      <c r="O810" s="5">
        <f t="shared" si="51"/>
        <v>240</v>
      </c>
    </row>
    <row r="811" spans="1:15" x14ac:dyDescent="0.3">
      <c r="A811" t="s">
        <v>841</v>
      </c>
      <c r="B811" s="3">
        <v>46364</v>
      </c>
      <c r="C811" t="s">
        <v>835</v>
      </c>
      <c r="D811" t="s">
        <v>17</v>
      </c>
      <c r="E811">
        <v>22</v>
      </c>
      <c r="F811">
        <v>50</v>
      </c>
      <c r="G811">
        <v>0.1</v>
      </c>
      <c r="H811">
        <v>20</v>
      </c>
      <c r="I811" t="s">
        <v>836</v>
      </c>
      <c r="J811" t="s">
        <v>19</v>
      </c>
      <c r="K811">
        <v>15</v>
      </c>
      <c r="L811">
        <f t="shared" si="48"/>
        <v>1100</v>
      </c>
      <c r="M811">
        <f t="shared" si="49"/>
        <v>5</v>
      </c>
      <c r="N811">
        <f t="shared" si="50"/>
        <v>330</v>
      </c>
      <c r="O811" s="5">
        <f t="shared" si="51"/>
        <v>750</v>
      </c>
    </row>
    <row r="812" spans="1:15" x14ac:dyDescent="0.3">
      <c r="A812" t="s">
        <v>842</v>
      </c>
      <c r="B812" s="3">
        <v>46254</v>
      </c>
      <c r="C812" t="s">
        <v>835</v>
      </c>
      <c r="D812" t="s">
        <v>22</v>
      </c>
      <c r="E812">
        <v>18</v>
      </c>
      <c r="F812">
        <v>50</v>
      </c>
      <c r="G812">
        <v>0.2</v>
      </c>
      <c r="H812">
        <v>10</v>
      </c>
      <c r="I812" t="s">
        <v>836</v>
      </c>
      <c r="J812" t="s">
        <v>19</v>
      </c>
      <c r="K812">
        <v>15</v>
      </c>
      <c r="L812">
        <f t="shared" si="48"/>
        <v>900</v>
      </c>
      <c r="M812">
        <f t="shared" si="49"/>
        <v>10</v>
      </c>
      <c r="N812">
        <f t="shared" si="50"/>
        <v>270</v>
      </c>
      <c r="O812" s="5">
        <f t="shared" si="51"/>
        <v>620</v>
      </c>
    </row>
    <row r="813" spans="1:15" x14ac:dyDescent="0.3">
      <c r="A813" t="s">
        <v>843</v>
      </c>
      <c r="B813" s="3">
        <v>46287</v>
      </c>
      <c r="C813" t="s">
        <v>835</v>
      </c>
      <c r="D813" t="s">
        <v>34</v>
      </c>
      <c r="E813">
        <v>16</v>
      </c>
      <c r="F813">
        <v>50</v>
      </c>
      <c r="G813">
        <v>0.1</v>
      </c>
      <c r="H813">
        <v>10</v>
      </c>
      <c r="I813" t="s">
        <v>836</v>
      </c>
      <c r="J813" t="s">
        <v>19</v>
      </c>
      <c r="K813">
        <v>15</v>
      </c>
      <c r="L813">
        <f t="shared" si="48"/>
        <v>800</v>
      </c>
      <c r="M813">
        <f t="shared" si="49"/>
        <v>5</v>
      </c>
      <c r="N813">
        <f t="shared" si="50"/>
        <v>240</v>
      </c>
      <c r="O813" s="5">
        <f t="shared" si="51"/>
        <v>550</v>
      </c>
    </row>
    <row r="814" spans="1:15" x14ac:dyDescent="0.3">
      <c r="A814" t="s">
        <v>844</v>
      </c>
      <c r="B814" s="3">
        <v>46374</v>
      </c>
      <c r="C814" t="s">
        <v>835</v>
      </c>
      <c r="D814" t="s">
        <v>22</v>
      </c>
      <c r="E814">
        <v>3</v>
      </c>
      <c r="F814">
        <v>50</v>
      </c>
      <c r="G814">
        <v>0.1</v>
      </c>
      <c r="H814">
        <v>20</v>
      </c>
      <c r="I814" t="s">
        <v>836</v>
      </c>
      <c r="J814" t="s">
        <v>19</v>
      </c>
      <c r="K814">
        <v>15</v>
      </c>
      <c r="L814">
        <f t="shared" si="48"/>
        <v>150</v>
      </c>
      <c r="M814">
        <f t="shared" si="49"/>
        <v>5</v>
      </c>
      <c r="N814">
        <f t="shared" si="50"/>
        <v>45</v>
      </c>
      <c r="O814" s="5">
        <f t="shared" si="51"/>
        <v>85</v>
      </c>
    </row>
    <row r="815" spans="1:15" x14ac:dyDescent="0.3">
      <c r="A815" t="s">
        <v>845</v>
      </c>
      <c r="B815" s="3">
        <v>46364</v>
      </c>
      <c r="C815" t="s">
        <v>835</v>
      </c>
      <c r="D815" t="s">
        <v>22</v>
      </c>
      <c r="E815">
        <v>24</v>
      </c>
      <c r="F815">
        <v>50</v>
      </c>
      <c r="G815">
        <v>0.1</v>
      </c>
      <c r="H815">
        <v>10</v>
      </c>
      <c r="I815" t="s">
        <v>836</v>
      </c>
      <c r="J815" t="s">
        <v>19</v>
      </c>
      <c r="K815">
        <v>15</v>
      </c>
      <c r="L815">
        <f t="shared" si="48"/>
        <v>1200</v>
      </c>
      <c r="M815">
        <f t="shared" si="49"/>
        <v>5</v>
      </c>
      <c r="N815">
        <f t="shared" si="50"/>
        <v>360</v>
      </c>
      <c r="O815" s="5">
        <f t="shared" si="51"/>
        <v>830</v>
      </c>
    </row>
    <row r="816" spans="1:15" x14ac:dyDescent="0.3">
      <c r="A816" t="s">
        <v>846</v>
      </c>
      <c r="B816" s="3">
        <v>46194</v>
      </c>
      <c r="C816" t="s">
        <v>835</v>
      </c>
      <c r="D816" t="s">
        <v>17</v>
      </c>
      <c r="E816">
        <v>12</v>
      </c>
      <c r="F816">
        <v>50</v>
      </c>
      <c r="G816">
        <v>0</v>
      </c>
      <c r="H816">
        <v>10</v>
      </c>
      <c r="I816" t="s">
        <v>836</v>
      </c>
      <c r="J816" t="s">
        <v>19</v>
      </c>
      <c r="K816">
        <v>15</v>
      </c>
      <c r="L816">
        <f t="shared" si="48"/>
        <v>600</v>
      </c>
      <c r="M816">
        <f t="shared" si="49"/>
        <v>0</v>
      </c>
      <c r="N816">
        <f t="shared" si="50"/>
        <v>180</v>
      </c>
      <c r="O816" s="5">
        <f t="shared" si="51"/>
        <v>410</v>
      </c>
    </row>
    <row r="817" spans="1:15" x14ac:dyDescent="0.3">
      <c r="A817" t="s">
        <v>847</v>
      </c>
      <c r="B817" s="3">
        <v>46258</v>
      </c>
      <c r="C817" t="s">
        <v>835</v>
      </c>
      <c r="D817" t="s">
        <v>34</v>
      </c>
      <c r="E817">
        <v>4</v>
      </c>
      <c r="F817">
        <v>50</v>
      </c>
      <c r="G817">
        <v>0.35</v>
      </c>
      <c r="H817">
        <v>10</v>
      </c>
      <c r="I817" t="s">
        <v>836</v>
      </c>
      <c r="J817" t="s">
        <v>19</v>
      </c>
      <c r="K817">
        <v>15</v>
      </c>
      <c r="L817">
        <f t="shared" si="48"/>
        <v>200</v>
      </c>
      <c r="M817">
        <f t="shared" si="49"/>
        <v>17.5</v>
      </c>
      <c r="N817">
        <f t="shared" si="50"/>
        <v>60</v>
      </c>
      <c r="O817" s="5">
        <f t="shared" si="51"/>
        <v>130</v>
      </c>
    </row>
    <row r="818" spans="1:15" x14ac:dyDescent="0.3">
      <c r="A818" t="s">
        <v>848</v>
      </c>
      <c r="B818" s="3">
        <v>46047</v>
      </c>
      <c r="C818" t="s">
        <v>835</v>
      </c>
      <c r="D818" t="s">
        <v>34</v>
      </c>
      <c r="E818">
        <v>20</v>
      </c>
      <c r="F818">
        <v>50</v>
      </c>
      <c r="G818">
        <v>0.1</v>
      </c>
      <c r="H818">
        <v>5</v>
      </c>
      <c r="I818" t="s">
        <v>836</v>
      </c>
      <c r="J818" t="s">
        <v>19</v>
      </c>
      <c r="K818">
        <v>15</v>
      </c>
      <c r="L818">
        <f t="shared" si="48"/>
        <v>1000</v>
      </c>
      <c r="M818">
        <f t="shared" si="49"/>
        <v>5</v>
      </c>
      <c r="N818">
        <f t="shared" si="50"/>
        <v>300</v>
      </c>
      <c r="O818" s="5">
        <f t="shared" si="51"/>
        <v>695</v>
      </c>
    </row>
    <row r="819" spans="1:15" x14ac:dyDescent="0.3">
      <c r="A819" t="s">
        <v>849</v>
      </c>
      <c r="B819" s="3">
        <v>46284</v>
      </c>
      <c r="C819" t="s">
        <v>835</v>
      </c>
      <c r="D819" t="s">
        <v>22</v>
      </c>
      <c r="E819">
        <v>8</v>
      </c>
      <c r="F819">
        <v>50</v>
      </c>
      <c r="G819">
        <v>0.1</v>
      </c>
      <c r="H819">
        <v>15</v>
      </c>
      <c r="I819" t="s">
        <v>836</v>
      </c>
      <c r="J819" t="s">
        <v>19</v>
      </c>
      <c r="K819">
        <v>15</v>
      </c>
      <c r="L819">
        <f t="shared" si="48"/>
        <v>400</v>
      </c>
      <c r="M819">
        <f t="shared" si="49"/>
        <v>5</v>
      </c>
      <c r="N819">
        <f t="shared" si="50"/>
        <v>120</v>
      </c>
      <c r="O819" s="5">
        <f t="shared" si="51"/>
        <v>265</v>
      </c>
    </row>
    <row r="820" spans="1:15" x14ac:dyDescent="0.3">
      <c r="A820" t="s">
        <v>850</v>
      </c>
      <c r="B820" s="3">
        <v>46113</v>
      </c>
      <c r="C820" t="s">
        <v>835</v>
      </c>
      <c r="D820" t="s">
        <v>17</v>
      </c>
      <c r="E820">
        <v>12</v>
      </c>
      <c r="F820">
        <v>50</v>
      </c>
      <c r="G820">
        <v>0.2</v>
      </c>
      <c r="H820">
        <v>5</v>
      </c>
      <c r="I820" t="s">
        <v>836</v>
      </c>
      <c r="J820" t="s">
        <v>19</v>
      </c>
      <c r="K820">
        <v>15</v>
      </c>
      <c r="L820">
        <f t="shared" si="48"/>
        <v>600</v>
      </c>
      <c r="M820">
        <f t="shared" si="49"/>
        <v>10</v>
      </c>
      <c r="N820">
        <f t="shared" si="50"/>
        <v>180</v>
      </c>
      <c r="O820" s="5">
        <f t="shared" si="51"/>
        <v>415</v>
      </c>
    </row>
    <row r="821" spans="1:15" x14ac:dyDescent="0.3">
      <c r="A821" t="s">
        <v>851</v>
      </c>
      <c r="B821" s="3">
        <v>46054</v>
      </c>
      <c r="C821" t="s">
        <v>835</v>
      </c>
      <c r="D821" t="s">
        <v>34</v>
      </c>
      <c r="E821">
        <v>25</v>
      </c>
      <c r="F821">
        <v>50</v>
      </c>
      <c r="G821">
        <v>0</v>
      </c>
      <c r="H821">
        <v>15</v>
      </c>
      <c r="I821" t="s">
        <v>836</v>
      </c>
      <c r="J821" t="s">
        <v>19</v>
      </c>
      <c r="K821">
        <v>15</v>
      </c>
      <c r="L821">
        <f t="shared" si="48"/>
        <v>1250</v>
      </c>
      <c r="M821">
        <f t="shared" si="49"/>
        <v>0</v>
      </c>
      <c r="N821">
        <f t="shared" si="50"/>
        <v>375</v>
      </c>
      <c r="O821" s="5">
        <f t="shared" si="51"/>
        <v>860</v>
      </c>
    </row>
    <row r="822" spans="1:15" x14ac:dyDescent="0.3">
      <c r="A822" t="s">
        <v>852</v>
      </c>
      <c r="B822" s="3">
        <v>46159</v>
      </c>
      <c r="C822" t="s">
        <v>835</v>
      </c>
      <c r="D822" t="s">
        <v>17</v>
      </c>
      <c r="E822">
        <v>2</v>
      </c>
      <c r="F822">
        <v>50</v>
      </c>
      <c r="G822">
        <v>0.35</v>
      </c>
      <c r="H822">
        <v>5</v>
      </c>
      <c r="I822" t="s">
        <v>836</v>
      </c>
      <c r="J822" t="s">
        <v>19</v>
      </c>
      <c r="K822">
        <v>15</v>
      </c>
      <c r="L822">
        <f t="shared" si="48"/>
        <v>100</v>
      </c>
      <c r="M822">
        <f t="shared" si="49"/>
        <v>17.5</v>
      </c>
      <c r="N822">
        <f t="shared" si="50"/>
        <v>30</v>
      </c>
      <c r="O822" s="5">
        <f t="shared" si="51"/>
        <v>65</v>
      </c>
    </row>
    <row r="823" spans="1:15" x14ac:dyDescent="0.3">
      <c r="A823" t="s">
        <v>853</v>
      </c>
      <c r="B823" s="3">
        <v>46203</v>
      </c>
      <c r="C823" t="s">
        <v>835</v>
      </c>
      <c r="D823" t="s">
        <v>24</v>
      </c>
      <c r="E823">
        <v>12</v>
      </c>
      <c r="F823">
        <v>50</v>
      </c>
      <c r="G823">
        <v>0</v>
      </c>
      <c r="H823">
        <v>15</v>
      </c>
      <c r="I823" t="s">
        <v>836</v>
      </c>
      <c r="J823" t="s">
        <v>19</v>
      </c>
      <c r="K823">
        <v>15</v>
      </c>
      <c r="L823">
        <f t="shared" si="48"/>
        <v>600</v>
      </c>
      <c r="M823">
        <f t="shared" si="49"/>
        <v>0</v>
      </c>
      <c r="N823">
        <f t="shared" si="50"/>
        <v>180</v>
      </c>
      <c r="O823" s="5">
        <f t="shared" si="51"/>
        <v>405</v>
      </c>
    </row>
    <row r="824" spans="1:15" x14ac:dyDescent="0.3">
      <c r="A824" t="s">
        <v>854</v>
      </c>
      <c r="B824" s="3">
        <v>46094</v>
      </c>
      <c r="C824" t="s">
        <v>835</v>
      </c>
      <c r="D824" t="s">
        <v>22</v>
      </c>
      <c r="E824">
        <v>8</v>
      </c>
      <c r="F824">
        <v>50</v>
      </c>
      <c r="G824">
        <v>0.2</v>
      </c>
      <c r="H824">
        <v>15</v>
      </c>
      <c r="I824" t="s">
        <v>836</v>
      </c>
      <c r="J824" t="s">
        <v>19</v>
      </c>
      <c r="K824">
        <v>15</v>
      </c>
      <c r="L824">
        <f t="shared" si="48"/>
        <v>400</v>
      </c>
      <c r="M824">
        <f t="shared" si="49"/>
        <v>10</v>
      </c>
      <c r="N824">
        <f t="shared" si="50"/>
        <v>120</v>
      </c>
      <c r="O824" s="5">
        <f t="shared" si="51"/>
        <v>265</v>
      </c>
    </row>
    <row r="825" spans="1:15" x14ac:dyDescent="0.3">
      <c r="A825" t="s">
        <v>855</v>
      </c>
      <c r="B825" s="3">
        <v>46098</v>
      </c>
      <c r="C825" t="s">
        <v>835</v>
      </c>
      <c r="D825" t="s">
        <v>34</v>
      </c>
      <c r="E825">
        <v>3</v>
      </c>
      <c r="F825">
        <v>50</v>
      </c>
      <c r="G825">
        <v>0.35</v>
      </c>
      <c r="H825">
        <v>10</v>
      </c>
      <c r="I825" t="s">
        <v>836</v>
      </c>
      <c r="J825" t="s">
        <v>19</v>
      </c>
      <c r="K825">
        <v>15</v>
      </c>
      <c r="L825">
        <f t="shared" si="48"/>
        <v>150</v>
      </c>
      <c r="M825">
        <f t="shared" si="49"/>
        <v>17.5</v>
      </c>
      <c r="N825">
        <f t="shared" si="50"/>
        <v>45</v>
      </c>
      <c r="O825" s="5">
        <f t="shared" si="51"/>
        <v>95</v>
      </c>
    </row>
    <row r="826" spans="1:15" x14ac:dyDescent="0.3">
      <c r="A826" t="s">
        <v>856</v>
      </c>
      <c r="B826" s="3">
        <v>46207</v>
      </c>
      <c r="C826" t="s">
        <v>835</v>
      </c>
      <c r="D826" t="s">
        <v>22</v>
      </c>
      <c r="E826">
        <v>15</v>
      </c>
      <c r="F826">
        <v>50</v>
      </c>
      <c r="G826">
        <v>0</v>
      </c>
      <c r="H826">
        <v>5</v>
      </c>
      <c r="I826" t="s">
        <v>836</v>
      </c>
      <c r="J826" t="s">
        <v>19</v>
      </c>
      <c r="K826">
        <v>15</v>
      </c>
      <c r="L826">
        <f t="shared" si="48"/>
        <v>750</v>
      </c>
      <c r="M826">
        <f t="shared" si="49"/>
        <v>0</v>
      </c>
      <c r="N826">
        <f t="shared" si="50"/>
        <v>225</v>
      </c>
      <c r="O826" s="5">
        <f t="shared" si="51"/>
        <v>520</v>
      </c>
    </row>
    <row r="827" spans="1:15" x14ac:dyDescent="0.3">
      <c r="A827" t="s">
        <v>857</v>
      </c>
      <c r="B827" s="3">
        <v>46295</v>
      </c>
      <c r="C827" t="s">
        <v>835</v>
      </c>
      <c r="D827" t="s">
        <v>22</v>
      </c>
      <c r="E827">
        <v>24</v>
      </c>
      <c r="F827">
        <v>50</v>
      </c>
      <c r="G827">
        <v>0.1</v>
      </c>
      <c r="H827">
        <v>5</v>
      </c>
      <c r="I827" t="s">
        <v>836</v>
      </c>
      <c r="J827" t="s">
        <v>19</v>
      </c>
      <c r="K827">
        <v>15</v>
      </c>
      <c r="L827">
        <f t="shared" si="48"/>
        <v>1200</v>
      </c>
      <c r="M827">
        <f t="shared" si="49"/>
        <v>5</v>
      </c>
      <c r="N827">
        <f t="shared" si="50"/>
        <v>360</v>
      </c>
      <c r="O827" s="5">
        <f t="shared" si="51"/>
        <v>835</v>
      </c>
    </row>
    <row r="828" spans="1:15" x14ac:dyDescent="0.3">
      <c r="A828" t="s">
        <v>858</v>
      </c>
      <c r="B828" s="3">
        <v>46060</v>
      </c>
      <c r="C828" t="s">
        <v>835</v>
      </c>
      <c r="D828" t="s">
        <v>34</v>
      </c>
      <c r="E828">
        <v>21</v>
      </c>
      <c r="F828">
        <v>50</v>
      </c>
      <c r="G828">
        <v>0.2</v>
      </c>
      <c r="H828">
        <v>20</v>
      </c>
      <c r="I828" t="s">
        <v>836</v>
      </c>
      <c r="J828" t="s">
        <v>19</v>
      </c>
      <c r="K828">
        <v>15</v>
      </c>
      <c r="L828">
        <f t="shared" si="48"/>
        <v>1050</v>
      </c>
      <c r="M828">
        <f t="shared" si="49"/>
        <v>10</v>
      </c>
      <c r="N828">
        <f t="shared" si="50"/>
        <v>315</v>
      </c>
      <c r="O828" s="5">
        <f t="shared" si="51"/>
        <v>715</v>
      </c>
    </row>
    <row r="829" spans="1:15" x14ac:dyDescent="0.3">
      <c r="A829" t="s">
        <v>859</v>
      </c>
      <c r="B829" s="3">
        <v>46061</v>
      </c>
      <c r="C829" t="s">
        <v>835</v>
      </c>
      <c r="D829" t="s">
        <v>34</v>
      </c>
      <c r="E829">
        <v>18</v>
      </c>
      <c r="F829">
        <v>50</v>
      </c>
      <c r="G829">
        <v>0.1</v>
      </c>
      <c r="H829">
        <v>15</v>
      </c>
      <c r="I829" t="s">
        <v>836</v>
      </c>
      <c r="J829" t="s">
        <v>19</v>
      </c>
      <c r="K829">
        <v>15</v>
      </c>
      <c r="L829">
        <f t="shared" si="48"/>
        <v>900</v>
      </c>
      <c r="M829">
        <f t="shared" si="49"/>
        <v>5</v>
      </c>
      <c r="N829">
        <f t="shared" si="50"/>
        <v>270</v>
      </c>
      <c r="O829" s="5">
        <f t="shared" si="51"/>
        <v>615</v>
      </c>
    </row>
    <row r="830" spans="1:15" x14ac:dyDescent="0.3">
      <c r="A830" t="s">
        <v>860</v>
      </c>
      <c r="B830" s="3">
        <v>46080</v>
      </c>
      <c r="C830" t="s">
        <v>835</v>
      </c>
      <c r="D830" t="s">
        <v>34</v>
      </c>
      <c r="E830">
        <v>3</v>
      </c>
      <c r="F830">
        <v>50</v>
      </c>
      <c r="G830">
        <v>0</v>
      </c>
      <c r="H830">
        <v>20</v>
      </c>
      <c r="I830" t="s">
        <v>836</v>
      </c>
      <c r="J830" t="s">
        <v>19</v>
      </c>
      <c r="K830">
        <v>15</v>
      </c>
      <c r="L830">
        <f t="shared" si="48"/>
        <v>150</v>
      </c>
      <c r="M830">
        <f t="shared" si="49"/>
        <v>0</v>
      </c>
      <c r="N830">
        <f t="shared" si="50"/>
        <v>45</v>
      </c>
      <c r="O830" s="5">
        <f t="shared" si="51"/>
        <v>85</v>
      </c>
    </row>
    <row r="831" spans="1:15" x14ac:dyDescent="0.3">
      <c r="A831" t="s">
        <v>861</v>
      </c>
      <c r="B831" s="3">
        <v>46347</v>
      </c>
      <c r="C831" t="s">
        <v>835</v>
      </c>
      <c r="D831" t="s">
        <v>34</v>
      </c>
      <c r="E831">
        <v>5</v>
      </c>
      <c r="F831">
        <v>50</v>
      </c>
      <c r="G831">
        <v>0.1</v>
      </c>
      <c r="H831">
        <v>10</v>
      </c>
      <c r="I831" t="s">
        <v>836</v>
      </c>
      <c r="J831" t="s">
        <v>19</v>
      </c>
      <c r="K831">
        <v>15</v>
      </c>
      <c r="L831">
        <f t="shared" si="48"/>
        <v>250</v>
      </c>
      <c r="M831">
        <f t="shared" si="49"/>
        <v>5</v>
      </c>
      <c r="N831">
        <f t="shared" si="50"/>
        <v>75</v>
      </c>
      <c r="O831" s="5">
        <f t="shared" si="51"/>
        <v>165</v>
      </c>
    </row>
    <row r="832" spans="1:15" x14ac:dyDescent="0.3">
      <c r="A832" t="s">
        <v>862</v>
      </c>
      <c r="B832" s="3">
        <v>46240</v>
      </c>
      <c r="C832" t="s">
        <v>835</v>
      </c>
      <c r="D832" t="s">
        <v>17</v>
      </c>
      <c r="E832">
        <v>21</v>
      </c>
      <c r="F832">
        <v>50</v>
      </c>
      <c r="G832">
        <v>0.2</v>
      </c>
      <c r="H832">
        <v>10</v>
      </c>
      <c r="I832" t="s">
        <v>836</v>
      </c>
      <c r="J832" t="s">
        <v>19</v>
      </c>
      <c r="K832">
        <v>15</v>
      </c>
      <c r="L832">
        <f t="shared" si="48"/>
        <v>1050</v>
      </c>
      <c r="M832">
        <f t="shared" si="49"/>
        <v>10</v>
      </c>
      <c r="N832">
        <f t="shared" si="50"/>
        <v>315</v>
      </c>
      <c r="O832" s="5">
        <f t="shared" si="51"/>
        <v>725</v>
      </c>
    </row>
    <row r="833" spans="1:15" x14ac:dyDescent="0.3">
      <c r="A833" t="s">
        <v>863</v>
      </c>
      <c r="B833" s="3">
        <v>46071</v>
      </c>
      <c r="C833" t="s">
        <v>835</v>
      </c>
      <c r="D833" t="s">
        <v>34</v>
      </c>
      <c r="E833">
        <v>18</v>
      </c>
      <c r="F833">
        <v>50</v>
      </c>
      <c r="G833">
        <v>0.1</v>
      </c>
      <c r="H833">
        <v>15</v>
      </c>
      <c r="I833" t="s">
        <v>836</v>
      </c>
      <c r="J833" t="s">
        <v>19</v>
      </c>
      <c r="K833">
        <v>15</v>
      </c>
      <c r="L833">
        <f t="shared" si="48"/>
        <v>900</v>
      </c>
      <c r="M833">
        <f t="shared" si="49"/>
        <v>5</v>
      </c>
      <c r="N833">
        <f t="shared" si="50"/>
        <v>270</v>
      </c>
      <c r="O833" s="5">
        <f t="shared" si="51"/>
        <v>615</v>
      </c>
    </row>
    <row r="834" spans="1:15" x14ac:dyDescent="0.3">
      <c r="A834" t="s">
        <v>864</v>
      </c>
      <c r="B834" s="3">
        <v>46166</v>
      </c>
      <c r="C834" t="s">
        <v>835</v>
      </c>
      <c r="D834" t="s">
        <v>34</v>
      </c>
      <c r="E834">
        <v>25</v>
      </c>
      <c r="F834">
        <v>50</v>
      </c>
      <c r="G834">
        <v>0.1</v>
      </c>
      <c r="H834">
        <v>10</v>
      </c>
      <c r="I834" t="s">
        <v>836</v>
      </c>
      <c r="J834" t="s">
        <v>19</v>
      </c>
      <c r="K834">
        <v>15</v>
      </c>
      <c r="L834">
        <f t="shared" ref="L834:L897" si="52">E834*F834</f>
        <v>1250</v>
      </c>
      <c r="M834">
        <f t="shared" ref="M834:M897" si="53">F834*G834</f>
        <v>5</v>
      </c>
      <c r="N834">
        <f t="shared" ref="N834:N897" si="54">E834*K834</f>
        <v>375</v>
      </c>
      <c r="O834" s="5">
        <f t="shared" ref="O834:O897" si="55">L834-H834-N834</f>
        <v>865</v>
      </c>
    </row>
    <row r="835" spans="1:15" x14ac:dyDescent="0.3">
      <c r="A835" t="s">
        <v>865</v>
      </c>
      <c r="B835" s="3">
        <v>46310</v>
      </c>
      <c r="C835" t="s">
        <v>835</v>
      </c>
      <c r="D835" t="s">
        <v>17</v>
      </c>
      <c r="E835">
        <v>3</v>
      </c>
      <c r="F835">
        <v>50</v>
      </c>
      <c r="G835">
        <v>0.1</v>
      </c>
      <c r="H835">
        <v>5</v>
      </c>
      <c r="I835" t="s">
        <v>836</v>
      </c>
      <c r="J835" t="s">
        <v>19</v>
      </c>
      <c r="K835">
        <v>15</v>
      </c>
      <c r="L835">
        <f t="shared" si="52"/>
        <v>150</v>
      </c>
      <c r="M835">
        <f t="shared" si="53"/>
        <v>5</v>
      </c>
      <c r="N835">
        <f t="shared" si="54"/>
        <v>45</v>
      </c>
      <c r="O835" s="5">
        <f t="shared" si="55"/>
        <v>100</v>
      </c>
    </row>
    <row r="836" spans="1:15" x14ac:dyDescent="0.3">
      <c r="A836" t="s">
        <v>866</v>
      </c>
      <c r="B836" s="3">
        <v>46318</v>
      </c>
      <c r="C836" t="s">
        <v>835</v>
      </c>
      <c r="D836" t="s">
        <v>34</v>
      </c>
      <c r="E836">
        <v>12</v>
      </c>
      <c r="F836">
        <v>50</v>
      </c>
      <c r="G836">
        <v>0.1</v>
      </c>
      <c r="H836">
        <v>20</v>
      </c>
      <c r="I836" t="s">
        <v>836</v>
      </c>
      <c r="J836" t="s">
        <v>19</v>
      </c>
      <c r="K836">
        <v>15</v>
      </c>
      <c r="L836">
        <f t="shared" si="52"/>
        <v>600</v>
      </c>
      <c r="M836">
        <f t="shared" si="53"/>
        <v>5</v>
      </c>
      <c r="N836">
        <f t="shared" si="54"/>
        <v>180</v>
      </c>
      <c r="O836" s="5">
        <f t="shared" si="55"/>
        <v>400</v>
      </c>
    </row>
    <row r="837" spans="1:15" x14ac:dyDescent="0.3">
      <c r="A837" t="s">
        <v>867</v>
      </c>
      <c r="B837" s="3">
        <v>46348</v>
      </c>
      <c r="C837" t="s">
        <v>835</v>
      </c>
      <c r="D837" t="s">
        <v>34</v>
      </c>
      <c r="E837">
        <v>21</v>
      </c>
      <c r="F837">
        <v>50</v>
      </c>
      <c r="G837">
        <v>0.2</v>
      </c>
      <c r="H837">
        <v>5</v>
      </c>
      <c r="I837" t="s">
        <v>836</v>
      </c>
      <c r="J837" t="s">
        <v>19</v>
      </c>
      <c r="K837">
        <v>15</v>
      </c>
      <c r="L837">
        <f t="shared" si="52"/>
        <v>1050</v>
      </c>
      <c r="M837">
        <f t="shared" si="53"/>
        <v>10</v>
      </c>
      <c r="N837">
        <f t="shared" si="54"/>
        <v>315</v>
      </c>
      <c r="O837" s="5">
        <f t="shared" si="55"/>
        <v>730</v>
      </c>
    </row>
    <row r="838" spans="1:15" x14ac:dyDescent="0.3">
      <c r="A838" t="s">
        <v>868</v>
      </c>
      <c r="B838" s="3">
        <v>46277</v>
      </c>
      <c r="C838" t="s">
        <v>835</v>
      </c>
      <c r="D838" t="s">
        <v>17</v>
      </c>
      <c r="E838">
        <v>2</v>
      </c>
      <c r="F838">
        <v>50</v>
      </c>
      <c r="G838">
        <v>0.1</v>
      </c>
      <c r="H838">
        <v>20</v>
      </c>
      <c r="I838" t="s">
        <v>836</v>
      </c>
      <c r="J838" t="s">
        <v>19</v>
      </c>
      <c r="K838">
        <v>15</v>
      </c>
      <c r="L838">
        <f t="shared" si="52"/>
        <v>100</v>
      </c>
      <c r="M838">
        <f t="shared" si="53"/>
        <v>5</v>
      </c>
      <c r="N838">
        <f t="shared" si="54"/>
        <v>30</v>
      </c>
      <c r="O838" s="5">
        <f t="shared" si="55"/>
        <v>50</v>
      </c>
    </row>
    <row r="839" spans="1:15" x14ac:dyDescent="0.3">
      <c r="A839" t="s">
        <v>869</v>
      </c>
      <c r="B839" s="3">
        <v>46230</v>
      </c>
      <c r="C839" t="s">
        <v>835</v>
      </c>
      <c r="D839" t="s">
        <v>24</v>
      </c>
      <c r="E839">
        <v>21</v>
      </c>
      <c r="F839">
        <v>50</v>
      </c>
      <c r="G839">
        <v>0.1</v>
      </c>
      <c r="H839">
        <v>15</v>
      </c>
      <c r="I839" t="s">
        <v>836</v>
      </c>
      <c r="J839" t="s">
        <v>19</v>
      </c>
      <c r="K839">
        <v>15</v>
      </c>
      <c r="L839">
        <f t="shared" si="52"/>
        <v>1050</v>
      </c>
      <c r="M839">
        <f t="shared" si="53"/>
        <v>5</v>
      </c>
      <c r="N839">
        <f t="shared" si="54"/>
        <v>315</v>
      </c>
      <c r="O839" s="5">
        <f t="shared" si="55"/>
        <v>720</v>
      </c>
    </row>
    <row r="840" spans="1:15" x14ac:dyDescent="0.3">
      <c r="A840" t="s">
        <v>870</v>
      </c>
      <c r="B840" s="3">
        <v>46383</v>
      </c>
      <c r="C840" t="s">
        <v>835</v>
      </c>
      <c r="D840" t="s">
        <v>22</v>
      </c>
      <c r="E840">
        <v>8</v>
      </c>
      <c r="F840">
        <v>50</v>
      </c>
      <c r="G840">
        <v>0.35</v>
      </c>
      <c r="H840">
        <v>5</v>
      </c>
      <c r="I840" t="s">
        <v>836</v>
      </c>
      <c r="J840" t="s">
        <v>19</v>
      </c>
      <c r="K840">
        <v>15</v>
      </c>
      <c r="L840">
        <f t="shared" si="52"/>
        <v>400</v>
      </c>
      <c r="M840">
        <f t="shared" si="53"/>
        <v>17.5</v>
      </c>
      <c r="N840">
        <f t="shared" si="54"/>
        <v>120</v>
      </c>
      <c r="O840" s="5">
        <f t="shared" si="55"/>
        <v>275</v>
      </c>
    </row>
    <row r="841" spans="1:15" x14ac:dyDescent="0.3">
      <c r="A841" t="s">
        <v>871</v>
      </c>
      <c r="B841" s="3">
        <v>46101</v>
      </c>
      <c r="C841" t="s">
        <v>835</v>
      </c>
      <c r="D841" t="s">
        <v>17</v>
      </c>
      <c r="E841">
        <v>1</v>
      </c>
      <c r="F841">
        <v>50</v>
      </c>
      <c r="G841">
        <v>0.1</v>
      </c>
      <c r="H841">
        <v>10</v>
      </c>
      <c r="I841" t="s">
        <v>836</v>
      </c>
      <c r="J841" t="s">
        <v>19</v>
      </c>
      <c r="K841">
        <v>15</v>
      </c>
      <c r="L841">
        <f t="shared" si="52"/>
        <v>50</v>
      </c>
      <c r="M841">
        <f t="shared" si="53"/>
        <v>5</v>
      </c>
      <c r="N841">
        <f t="shared" si="54"/>
        <v>15</v>
      </c>
      <c r="O841" s="5">
        <f t="shared" si="55"/>
        <v>25</v>
      </c>
    </row>
    <row r="842" spans="1:15" x14ac:dyDescent="0.3">
      <c r="A842" t="s">
        <v>872</v>
      </c>
      <c r="B842" s="3">
        <v>46150</v>
      </c>
      <c r="C842" t="s">
        <v>835</v>
      </c>
      <c r="D842" t="s">
        <v>24</v>
      </c>
      <c r="E842">
        <v>25</v>
      </c>
      <c r="F842">
        <v>50</v>
      </c>
      <c r="G842">
        <v>0</v>
      </c>
      <c r="H842">
        <v>5</v>
      </c>
      <c r="I842" t="s">
        <v>836</v>
      </c>
      <c r="J842" t="s">
        <v>19</v>
      </c>
      <c r="K842">
        <v>15</v>
      </c>
      <c r="L842">
        <f t="shared" si="52"/>
        <v>1250</v>
      </c>
      <c r="M842">
        <f t="shared" si="53"/>
        <v>0</v>
      </c>
      <c r="N842">
        <f t="shared" si="54"/>
        <v>375</v>
      </c>
      <c r="O842" s="5">
        <f t="shared" si="55"/>
        <v>870</v>
      </c>
    </row>
    <row r="843" spans="1:15" x14ac:dyDescent="0.3">
      <c r="A843" t="s">
        <v>873</v>
      </c>
      <c r="B843" s="3">
        <v>46304</v>
      </c>
      <c r="C843" t="s">
        <v>835</v>
      </c>
      <c r="D843" t="s">
        <v>17</v>
      </c>
      <c r="E843">
        <v>4</v>
      </c>
      <c r="F843">
        <v>50</v>
      </c>
      <c r="G843">
        <v>0.35</v>
      </c>
      <c r="H843">
        <v>20</v>
      </c>
      <c r="I843" t="s">
        <v>836</v>
      </c>
      <c r="J843" t="s">
        <v>19</v>
      </c>
      <c r="K843">
        <v>15</v>
      </c>
      <c r="L843">
        <f t="shared" si="52"/>
        <v>200</v>
      </c>
      <c r="M843">
        <f t="shared" si="53"/>
        <v>17.5</v>
      </c>
      <c r="N843">
        <f t="shared" si="54"/>
        <v>60</v>
      </c>
      <c r="O843" s="5">
        <f t="shared" si="55"/>
        <v>120</v>
      </c>
    </row>
    <row r="844" spans="1:15" x14ac:dyDescent="0.3">
      <c r="A844" t="s">
        <v>874</v>
      </c>
      <c r="B844" s="3">
        <v>46229</v>
      </c>
      <c r="C844" t="s">
        <v>835</v>
      </c>
      <c r="D844" t="s">
        <v>17</v>
      </c>
      <c r="E844">
        <v>16</v>
      </c>
      <c r="F844">
        <v>50</v>
      </c>
      <c r="G844">
        <v>0.35</v>
      </c>
      <c r="H844">
        <v>20</v>
      </c>
      <c r="I844" t="s">
        <v>836</v>
      </c>
      <c r="J844" t="s">
        <v>19</v>
      </c>
      <c r="K844">
        <v>15</v>
      </c>
      <c r="L844">
        <f t="shared" si="52"/>
        <v>800</v>
      </c>
      <c r="M844">
        <f t="shared" si="53"/>
        <v>17.5</v>
      </c>
      <c r="N844">
        <f t="shared" si="54"/>
        <v>240</v>
      </c>
      <c r="O844" s="5">
        <f t="shared" si="55"/>
        <v>540</v>
      </c>
    </row>
    <row r="845" spans="1:15" x14ac:dyDescent="0.3">
      <c r="A845" t="s">
        <v>875</v>
      </c>
      <c r="B845" s="3">
        <v>46369</v>
      </c>
      <c r="C845" t="s">
        <v>835</v>
      </c>
      <c r="D845" t="s">
        <v>17</v>
      </c>
      <c r="E845">
        <v>13</v>
      </c>
      <c r="F845">
        <v>50</v>
      </c>
      <c r="G845">
        <v>0.2</v>
      </c>
      <c r="H845">
        <v>5</v>
      </c>
      <c r="I845" t="s">
        <v>836</v>
      </c>
      <c r="J845" t="s">
        <v>19</v>
      </c>
      <c r="K845">
        <v>15</v>
      </c>
      <c r="L845">
        <f t="shared" si="52"/>
        <v>650</v>
      </c>
      <c r="M845">
        <f t="shared" si="53"/>
        <v>10</v>
      </c>
      <c r="N845">
        <f t="shared" si="54"/>
        <v>195</v>
      </c>
      <c r="O845" s="5">
        <f t="shared" si="55"/>
        <v>450</v>
      </c>
    </row>
    <row r="846" spans="1:15" x14ac:dyDescent="0.3">
      <c r="A846" t="s">
        <v>876</v>
      </c>
      <c r="B846" s="3">
        <v>46104</v>
      </c>
      <c r="C846" t="s">
        <v>835</v>
      </c>
      <c r="D846" t="s">
        <v>34</v>
      </c>
      <c r="E846">
        <v>13</v>
      </c>
      <c r="F846">
        <v>50</v>
      </c>
      <c r="G846">
        <v>0.1</v>
      </c>
      <c r="H846">
        <v>20</v>
      </c>
      <c r="I846" t="s">
        <v>836</v>
      </c>
      <c r="J846" t="s">
        <v>19</v>
      </c>
      <c r="K846">
        <v>15</v>
      </c>
      <c r="L846">
        <f t="shared" si="52"/>
        <v>650</v>
      </c>
      <c r="M846">
        <f t="shared" si="53"/>
        <v>5</v>
      </c>
      <c r="N846">
        <f t="shared" si="54"/>
        <v>195</v>
      </c>
      <c r="O846" s="5">
        <f t="shared" si="55"/>
        <v>435</v>
      </c>
    </row>
    <row r="847" spans="1:15" x14ac:dyDescent="0.3">
      <c r="A847" t="s">
        <v>877</v>
      </c>
      <c r="B847" s="3">
        <v>46094</v>
      </c>
      <c r="C847" t="s">
        <v>835</v>
      </c>
      <c r="D847" t="s">
        <v>34</v>
      </c>
      <c r="E847">
        <v>20</v>
      </c>
      <c r="F847">
        <v>50</v>
      </c>
      <c r="G847">
        <v>0.35</v>
      </c>
      <c r="H847">
        <v>20</v>
      </c>
      <c r="I847" t="s">
        <v>836</v>
      </c>
      <c r="J847" t="s">
        <v>19</v>
      </c>
      <c r="K847">
        <v>15</v>
      </c>
      <c r="L847">
        <f t="shared" si="52"/>
        <v>1000</v>
      </c>
      <c r="M847">
        <f t="shared" si="53"/>
        <v>17.5</v>
      </c>
      <c r="N847">
        <f t="shared" si="54"/>
        <v>300</v>
      </c>
      <c r="O847" s="5">
        <f t="shared" si="55"/>
        <v>680</v>
      </c>
    </row>
    <row r="848" spans="1:15" x14ac:dyDescent="0.3">
      <c r="A848" t="s">
        <v>878</v>
      </c>
      <c r="B848" s="3">
        <v>46308</v>
      </c>
      <c r="C848" t="s">
        <v>835</v>
      </c>
      <c r="D848" t="s">
        <v>17</v>
      </c>
      <c r="E848">
        <v>20</v>
      </c>
      <c r="F848">
        <v>50</v>
      </c>
      <c r="G848">
        <v>0.35</v>
      </c>
      <c r="H848">
        <v>20</v>
      </c>
      <c r="I848" t="s">
        <v>836</v>
      </c>
      <c r="J848" t="s">
        <v>19</v>
      </c>
      <c r="K848">
        <v>15</v>
      </c>
      <c r="L848">
        <f t="shared" si="52"/>
        <v>1000</v>
      </c>
      <c r="M848">
        <f t="shared" si="53"/>
        <v>17.5</v>
      </c>
      <c r="N848">
        <f t="shared" si="54"/>
        <v>300</v>
      </c>
      <c r="O848" s="5">
        <f t="shared" si="55"/>
        <v>680</v>
      </c>
    </row>
    <row r="849" spans="1:15" x14ac:dyDescent="0.3">
      <c r="A849" t="s">
        <v>879</v>
      </c>
      <c r="B849" s="3">
        <v>46215</v>
      </c>
      <c r="C849" t="s">
        <v>835</v>
      </c>
      <c r="D849" t="s">
        <v>22</v>
      </c>
      <c r="E849">
        <v>1</v>
      </c>
      <c r="F849">
        <v>50</v>
      </c>
      <c r="G849">
        <v>0.35</v>
      </c>
      <c r="H849">
        <v>20</v>
      </c>
      <c r="I849" t="s">
        <v>836</v>
      </c>
      <c r="J849" t="s">
        <v>19</v>
      </c>
      <c r="K849">
        <v>15</v>
      </c>
      <c r="L849">
        <f t="shared" si="52"/>
        <v>50</v>
      </c>
      <c r="M849">
        <f t="shared" si="53"/>
        <v>17.5</v>
      </c>
      <c r="N849">
        <f t="shared" si="54"/>
        <v>15</v>
      </c>
      <c r="O849" s="5">
        <f t="shared" si="55"/>
        <v>15</v>
      </c>
    </row>
    <row r="850" spans="1:15" x14ac:dyDescent="0.3">
      <c r="A850" t="s">
        <v>880</v>
      </c>
      <c r="B850" s="3">
        <v>46059</v>
      </c>
      <c r="C850" t="s">
        <v>835</v>
      </c>
      <c r="D850" t="s">
        <v>34</v>
      </c>
      <c r="E850">
        <v>16</v>
      </c>
      <c r="F850">
        <v>50</v>
      </c>
      <c r="G850">
        <v>0</v>
      </c>
      <c r="H850">
        <v>5</v>
      </c>
      <c r="I850" t="s">
        <v>836</v>
      </c>
      <c r="J850" t="s">
        <v>19</v>
      </c>
      <c r="K850">
        <v>15</v>
      </c>
      <c r="L850">
        <f t="shared" si="52"/>
        <v>800</v>
      </c>
      <c r="M850">
        <f t="shared" si="53"/>
        <v>0</v>
      </c>
      <c r="N850">
        <f t="shared" si="54"/>
        <v>240</v>
      </c>
      <c r="O850" s="5">
        <f t="shared" si="55"/>
        <v>555</v>
      </c>
    </row>
    <row r="851" spans="1:15" x14ac:dyDescent="0.3">
      <c r="A851" t="s">
        <v>881</v>
      </c>
      <c r="B851" s="3">
        <v>46301</v>
      </c>
      <c r="C851" t="s">
        <v>835</v>
      </c>
      <c r="D851" t="s">
        <v>22</v>
      </c>
      <c r="E851">
        <v>5</v>
      </c>
      <c r="F851">
        <v>50</v>
      </c>
      <c r="G851">
        <v>0.1</v>
      </c>
      <c r="H851">
        <v>20</v>
      </c>
      <c r="I851" t="s">
        <v>836</v>
      </c>
      <c r="J851" t="s">
        <v>19</v>
      </c>
      <c r="K851">
        <v>15</v>
      </c>
      <c r="L851">
        <f t="shared" si="52"/>
        <v>250</v>
      </c>
      <c r="M851">
        <f t="shared" si="53"/>
        <v>5</v>
      </c>
      <c r="N851">
        <f t="shared" si="54"/>
        <v>75</v>
      </c>
      <c r="O851" s="5">
        <f t="shared" si="55"/>
        <v>155</v>
      </c>
    </row>
    <row r="852" spans="1:15" x14ac:dyDescent="0.3">
      <c r="A852" t="s">
        <v>882</v>
      </c>
      <c r="B852" s="3">
        <v>46060</v>
      </c>
      <c r="C852" t="s">
        <v>835</v>
      </c>
      <c r="D852" t="s">
        <v>34</v>
      </c>
      <c r="E852">
        <v>18</v>
      </c>
      <c r="F852">
        <v>50</v>
      </c>
      <c r="G852">
        <v>0.2</v>
      </c>
      <c r="H852">
        <v>15</v>
      </c>
      <c r="I852" t="s">
        <v>836</v>
      </c>
      <c r="J852" t="s">
        <v>19</v>
      </c>
      <c r="K852">
        <v>15</v>
      </c>
      <c r="L852">
        <f t="shared" si="52"/>
        <v>900</v>
      </c>
      <c r="M852">
        <f t="shared" si="53"/>
        <v>10</v>
      </c>
      <c r="N852">
        <f t="shared" si="54"/>
        <v>270</v>
      </c>
      <c r="O852" s="5">
        <f t="shared" si="55"/>
        <v>615</v>
      </c>
    </row>
    <row r="853" spans="1:15" x14ac:dyDescent="0.3">
      <c r="A853" t="s">
        <v>883</v>
      </c>
      <c r="B853" s="3">
        <v>46249</v>
      </c>
      <c r="C853" t="s">
        <v>835</v>
      </c>
      <c r="D853" t="s">
        <v>17</v>
      </c>
      <c r="E853">
        <v>17</v>
      </c>
      <c r="F853">
        <v>50</v>
      </c>
      <c r="G853">
        <v>0.35</v>
      </c>
      <c r="H853">
        <v>15</v>
      </c>
      <c r="I853" t="s">
        <v>836</v>
      </c>
      <c r="J853" t="s">
        <v>19</v>
      </c>
      <c r="K853">
        <v>15</v>
      </c>
      <c r="L853">
        <f t="shared" si="52"/>
        <v>850</v>
      </c>
      <c r="M853">
        <f t="shared" si="53"/>
        <v>17.5</v>
      </c>
      <c r="N853">
        <f t="shared" si="54"/>
        <v>255</v>
      </c>
      <c r="O853" s="5">
        <f t="shared" si="55"/>
        <v>580</v>
      </c>
    </row>
    <row r="854" spans="1:15" x14ac:dyDescent="0.3">
      <c r="A854" t="s">
        <v>884</v>
      </c>
      <c r="B854" s="3">
        <v>46071</v>
      </c>
      <c r="C854" t="s">
        <v>835</v>
      </c>
      <c r="D854" t="s">
        <v>24</v>
      </c>
      <c r="E854">
        <v>1</v>
      </c>
      <c r="F854">
        <v>50</v>
      </c>
      <c r="G854">
        <v>0.1</v>
      </c>
      <c r="H854">
        <v>10</v>
      </c>
      <c r="I854" t="s">
        <v>836</v>
      </c>
      <c r="J854" t="s">
        <v>19</v>
      </c>
      <c r="K854">
        <v>15</v>
      </c>
      <c r="L854">
        <f t="shared" si="52"/>
        <v>50</v>
      </c>
      <c r="M854">
        <f t="shared" si="53"/>
        <v>5</v>
      </c>
      <c r="N854">
        <f t="shared" si="54"/>
        <v>15</v>
      </c>
      <c r="O854" s="5">
        <f t="shared" si="55"/>
        <v>25</v>
      </c>
    </row>
    <row r="855" spans="1:15" x14ac:dyDescent="0.3">
      <c r="A855" t="s">
        <v>885</v>
      </c>
      <c r="B855" s="3">
        <v>46103</v>
      </c>
      <c r="C855" t="s">
        <v>835</v>
      </c>
      <c r="D855" t="s">
        <v>24</v>
      </c>
      <c r="E855">
        <v>4</v>
      </c>
      <c r="F855">
        <v>50</v>
      </c>
      <c r="G855">
        <v>0.2</v>
      </c>
      <c r="H855">
        <v>15</v>
      </c>
      <c r="I855" t="s">
        <v>836</v>
      </c>
      <c r="J855" t="s">
        <v>19</v>
      </c>
      <c r="K855">
        <v>15</v>
      </c>
      <c r="L855">
        <f t="shared" si="52"/>
        <v>200</v>
      </c>
      <c r="M855">
        <f t="shared" si="53"/>
        <v>10</v>
      </c>
      <c r="N855">
        <f t="shared" si="54"/>
        <v>60</v>
      </c>
      <c r="O855" s="5">
        <f t="shared" si="55"/>
        <v>125</v>
      </c>
    </row>
    <row r="856" spans="1:15" x14ac:dyDescent="0.3">
      <c r="A856" t="s">
        <v>886</v>
      </c>
      <c r="B856" s="3">
        <v>46326</v>
      </c>
      <c r="C856" t="s">
        <v>835</v>
      </c>
      <c r="D856" t="s">
        <v>22</v>
      </c>
      <c r="E856">
        <v>20</v>
      </c>
      <c r="F856">
        <v>50</v>
      </c>
      <c r="G856">
        <v>0.35</v>
      </c>
      <c r="H856">
        <v>10</v>
      </c>
      <c r="I856" t="s">
        <v>836</v>
      </c>
      <c r="J856" t="s">
        <v>19</v>
      </c>
      <c r="K856">
        <v>15</v>
      </c>
      <c r="L856">
        <f t="shared" si="52"/>
        <v>1000</v>
      </c>
      <c r="M856">
        <f t="shared" si="53"/>
        <v>17.5</v>
      </c>
      <c r="N856">
        <f t="shared" si="54"/>
        <v>300</v>
      </c>
      <c r="O856" s="5">
        <f t="shared" si="55"/>
        <v>690</v>
      </c>
    </row>
    <row r="857" spans="1:15" x14ac:dyDescent="0.3">
      <c r="A857" t="s">
        <v>887</v>
      </c>
      <c r="B857" s="3">
        <v>46365</v>
      </c>
      <c r="C857" t="s">
        <v>835</v>
      </c>
      <c r="D857" t="s">
        <v>24</v>
      </c>
      <c r="E857">
        <v>14</v>
      </c>
      <c r="F857">
        <v>50</v>
      </c>
      <c r="G857">
        <v>0</v>
      </c>
      <c r="H857">
        <v>15</v>
      </c>
      <c r="I857" t="s">
        <v>836</v>
      </c>
      <c r="J857" t="s">
        <v>19</v>
      </c>
      <c r="K857">
        <v>15</v>
      </c>
      <c r="L857">
        <f t="shared" si="52"/>
        <v>700</v>
      </c>
      <c r="M857">
        <f t="shared" si="53"/>
        <v>0</v>
      </c>
      <c r="N857">
        <f t="shared" si="54"/>
        <v>210</v>
      </c>
      <c r="O857" s="5">
        <f t="shared" si="55"/>
        <v>475</v>
      </c>
    </row>
    <row r="858" spans="1:15" x14ac:dyDescent="0.3">
      <c r="A858" t="s">
        <v>888</v>
      </c>
      <c r="B858" s="3">
        <v>46184</v>
      </c>
      <c r="C858" t="s">
        <v>835</v>
      </c>
      <c r="D858" t="s">
        <v>34</v>
      </c>
      <c r="E858">
        <v>22</v>
      </c>
      <c r="F858">
        <v>50</v>
      </c>
      <c r="G858">
        <v>0.35</v>
      </c>
      <c r="H858">
        <v>20</v>
      </c>
      <c r="I858" t="s">
        <v>836</v>
      </c>
      <c r="J858" t="s">
        <v>19</v>
      </c>
      <c r="K858">
        <v>15</v>
      </c>
      <c r="L858">
        <f t="shared" si="52"/>
        <v>1100</v>
      </c>
      <c r="M858">
        <f t="shared" si="53"/>
        <v>17.5</v>
      </c>
      <c r="N858">
        <f t="shared" si="54"/>
        <v>330</v>
      </c>
      <c r="O858" s="5">
        <f t="shared" si="55"/>
        <v>750</v>
      </c>
    </row>
    <row r="859" spans="1:15" x14ac:dyDescent="0.3">
      <c r="A859" t="s">
        <v>889</v>
      </c>
      <c r="B859" s="3">
        <v>46056</v>
      </c>
      <c r="C859" t="s">
        <v>835</v>
      </c>
      <c r="D859" t="s">
        <v>22</v>
      </c>
      <c r="E859">
        <v>14</v>
      </c>
      <c r="F859">
        <v>50</v>
      </c>
      <c r="G859">
        <v>0.2</v>
      </c>
      <c r="H859">
        <v>15</v>
      </c>
      <c r="I859" t="s">
        <v>836</v>
      </c>
      <c r="J859" t="s">
        <v>19</v>
      </c>
      <c r="K859">
        <v>15</v>
      </c>
      <c r="L859">
        <f t="shared" si="52"/>
        <v>700</v>
      </c>
      <c r="M859">
        <f t="shared" si="53"/>
        <v>10</v>
      </c>
      <c r="N859">
        <f t="shared" si="54"/>
        <v>210</v>
      </c>
      <c r="O859" s="5">
        <f t="shared" si="55"/>
        <v>475</v>
      </c>
    </row>
    <row r="860" spans="1:15" x14ac:dyDescent="0.3">
      <c r="A860" t="s">
        <v>890</v>
      </c>
      <c r="B860" s="3">
        <v>46025</v>
      </c>
      <c r="C860" t="s">
        <v>835</v>
      </c>
      <c r="D860" t="s">
        <v>22</v>
      </c>
      <c r="E860">
        <v>12</v>
      </c>
      <c r="F860">
        <v>50</v>
      </c>
      <c r="G860">
        <v>0</v>
      </c>
      <c r="H860">
        <v>5</v>
      </c>
      <c r="I860" t="s">
        <v>836</v>
      </c>
      <c r="J860" t="s">
        <v>19</v>
      </c>
      <c r="K860">
        <v>15</v>
      </c>
      <c r="L860">
        <f t="shared" si="52"/>
        <v>600</v>
      </c>
      <c r="M860">
        <f t="shared" si="53"/>
        <v>0</v>
      </c>
      <c r="N860">
        <f t="shared" si="54"/>
        <v>180</v>
      </c>
      <c r="O860" s="5">
        <f t="shared" si="55"/>
        <v>415</v>
      </c>
    </row>
    <row r="861" spans="1:15" x14ac:dyDescent="0.3">
      <c r="A861" t="s">
        <v>891</v>
      </c>
      <c r="B861" s="3">
        <v>46175</v>
      </c>
      <c r="C861" t="s">
        <v>835</v>
      </c>
      <c r="D861" t="s">
        <v>22</v>
      </c>
      <c r="E861">
        <v>23</v>
      </c>
      <c r="F861">
        <v>50</v>
      </c>
      <c r="G861">
        <v>0.35</v>
      </c>
      <c r="H861">
        <v>20</v>
      </c>
      <c r="I861" t="s">
        <v>836</v>
      </c>
      <c r="J861" t="s">
        <v>19</v>
      </c>
      <c r="K861">
        <v>15</v>
      </c>
      <c r="L861">
        <f t="shared" si="52"/>
        <v>1150</v>
      </c>
      <c r="M861">
        <f t="shared" si="53"/>
        <v>17.5</v>
      </c>
      <c r="N861">
        <f t="shared" si="54"/>
        <v>345</v>
      </c>
      <c r="O861" s="5">
        <f t="shared" si="55"/>
        <v>785</v>
      </c>
    </row>
    <row r="862" spans="1:15" x14ac:dyDescent="0.3">
      <c r="A862" t="s">
        <v>892</v>
      </c>
      <c r="B862" s="3">
        <v>46200</v>
      </c>
      <c r="C862" t="s">
        <v>835</v>
      </c>
      <c r="D862" t="s">
        <v>24</v>
      </c>
      <c r="E862">
        <v>11</v>
      </c>
      <c r="F862">
        <v>50</v>
      </c>
      <c r="G862">
        <v>0</v>
      </c>
      <c r="H862">
        <v>5</v>
      </c>
      <c r="I862" t="s">
        <v>836</v>
      </c>
      <c r="J862" t="s">
        <v>19</v>
      </c>
      <c r="K862">
        <v>15</v>
      </c>
      <c r="L862">
        <f t="shared" si="52"/>
        <v>550</v>
      </c>
      <c r="M862">
        <f t="shared" si="53"/>
        <v>0</v>
      </c>
      <c r="N862">
        <f t="shared" si="54"/>
        <v>165</v>
      </c>
      <c r="O862" s="5">
        <f t="shared" si="55"/>
        <v>380</v>
      </c>
    </row>
    <row r="863" spans="1:15" x14ac:dyDescent="0.3">
      <c r="A863" t="s">
        <v>893</v>
      </c>
      <c r="B863" s="3">
        <v>46196</v>
      </c>
      <c r="C863" t="s">
        <v>835</v>
      </c>
      <c r="D863" t="s">
        <v>24</v>
      </c>
      <c r="E863">
        <v>19</v>
      </c>
      <c r="F863">
        <v>50</v>
      </c>
      <c r="G863">
        <v>0.35</v>
      </c>
      <c r="H863">
        <v>15</v>
      </c>
      <c r="I863" t="s">
        <v>836</v>
      </c>
      <c r="J863" t="s">
        <v>19</v>
      </c>
      <c r="K863">
        <v>15</v>
      </c>
      <c r="L863">
        <f t="shared" si="52"/>
        <v>950</v>
      </c>
      <c r="M863">
        <f t="shared" si="53"/>
        <v>17.5</v>
      </c>
      <c r="N863">
        <f t="shared" si="54"/>
        <v>285</v>
      </c>
      <c r="O863" s="5">
        <f t="shared" si="55"/>
        <v>650</v>
      </c>
    </row>
    <row r="864" spans="1:15" x14ac:dyDescent="0.3">
      <c r="A864" t="s">
        <v>894</v>
      </c>
      <c r="B864" s="3">
        <v>46269</v>
      </c>
      <c r="C864" t="s">
        <v>835</v>
      </c>
      <c r="D864" t="s">
        <v>22</v>
      </c>
      <c r="E864">
        <v>2</v>
      </c>
      <c r="F864">
        <v>50</v>
      </c>
      <c r="G864">
        <v>0</v>
      </c>
      <c r="H864">
        <v>5</v>
      </c>
      <c r="I864" t="s">
        <v>836</v>
      </c>
      <c r="J864" t="s">
        <v>19</v>
      </c>
      <c r="K864">
        <v>15</v>
      </c>
      <c r="L864">
        <f t="shared" si="52"/>
        <v>100</v>
      </c>
      <c r="M864">
        <f t="shared" si="53"/>
        <v>0</v>
      </c>
      <c r="N864">
        <f t="shared" si="54"/>
        <v>30</v>
      </c>
      <c r="O864" s="5">
        <f t="shared" si="55"/>
        <v>65</v>
      </c>
    </row>
    <row r="865" spans="1:15" x14ac:dyDescent="0.3">
      <c r="A865" t="s">
        <v>895</v>
      </c>
      <c r="B865" s="3">
        <v>46163</v>
      </c>
      <c r="C865" t="s">
        <v>835</v>
      </c>
      <c r="D865" t="s">
        <v>22</v>
      </c>
      <c r="E865">
        <v>14</v>
      </c>
      <c r="F865">
        <v>50</v>
      </c>
      <c r="G865">
        <v>0.35</v>
      </c>
      <c r="H865">
        <v>5</v>
      </c>
      <c r="I865" t="s">
        <v>836</v>
      </c>
      <c r="J865" t="s">
        <v>19</v>
      </c>
      <c r="K865">
        <v>15</v>
      </c>
      <c r="L865">
        <f t="shared" si="52"/>
        <v>700</v>
      </c>
      <c r="M865">
        <f t="shared" si="53"/>
        <v>17.5</v>
      </c>
      <c r="N865">
        <f t="shared" si="54"/>
        <v>210</v>
      </c>
      <c r="O865" s="5">
        <f t="shared" si="55"/>
        <v>485</v>
      </c>
    </row>
    <row r="866" spans="1:15" x14ac:dyDescent="0.3">
      <c r="A866" t="s">
        <v>896</v>
      </c>
      <c r="B866" s="3">
        <v>46082</v>
      </c>
      <c r="C866" t="s">
        <v>835</v>
      </c>
      <c r="D866" t="s">
        <v>34</v>
      </c>
      <c r="E866">
        <v>7</v>
      </c>
      <c r="F866">
        <v>50</v>
      </c>
      <c r="G866">
        <v>0</v>
      </c>
      <c r="H866">
        <v>15</v>
      </c>
      <c r="I866" t="s">
        <v>836</v>
      </c>
      <c r="J866" t="s">
        <v>19</v>
      </c>
      <c r="K866">
        <v>15</v>
      </c>
      <c r="L866">
        <f t="shared" si="52"/>
        <v>350</v>
      </c>
      <c r="M866">
        <f t="shared" si="53"/>
        <v>0</v>
      </c>
      <c r="N866">
        <f t="shared" si="54"/>
        <v>105</v>
      </c>
      <c r="O866" s="5">
        <f t="shared" si="55"/>
        <v>230</v>
      </c>
    </row>
    <row r="867" spans="1:15" x14ac:dyDescent="0.3">
      <c r="A867" t="s">
        <v>897</v>
      </c>
      <c r="B867" s="3">
        <v>46097</v>
      </c>
      <c r="C867" t="s">
        <v>835</v>
      </c>
      <c r="D867" t="s">
        <v>34</v>
      </c>
      <c r="E867">
        <v>2</v>
      </c>
      <c r="F867">
        <v>50</v>
      </c>
      <c r="G867">
        <v>0.1</v>
      </c>
      <c r="H867">
        <v>20</v>
      </c>
      <c r="I867" t="s">
        <v>836</v>
      </c>
      <c r="J867" t="s">
        <v>19</v>
      </c>
      <c r="K867">
        <v>15</v>
      </c>
      <c r="L867">
        <f t="shared" si="52"/>
        <v>100</v>
      </c>
      <c r="M867">
        <f t="shared" si="53"/>
        <v>5</v>
      </c>
      <c r="N867">
        <f t="shared" si="54"/>
        <v>30</v>
      </c>
      <c r="O867" s="5">
        <f t="shared" si="55"/>
        <v>50</v>
      </c>
    </row>
    <row r="868" spans="1:15" x14ac:dyDescent="0.3">
      <c r="A868" t="s">
        <v>898</v>
      </c>
      <c r="B868" s="3">
        <v>46075</v>
      </c>
      <c r="C868" t="s">
        <v>835</v>
      </c>
      <c r="D868" t="s">
        <v>22</v>
      </c>
      <c r="E868">
        <v>3</v>
      </c>
      <c r="F868">
        <v>50</v>
      </c>
      <c r="G868">
        <v>0.1</v>
      </c>
      <c r="H868">
        <v>15</v>
      </c>
      <c r="I868" t="s">
        <v>836</v>
      </c>
      <c r="J868" t="s">
        <v>19</v>
      </c>
      <c r="K868">
        <v>15</v>
      </c>
      <c r="L868">
        <f t="shared" si="52"/>
        <v>150</v>
      </c>
      <c r="M868">
        <f t="shared" si="53"/>
        <v>5</v>
      </c>
      <c r="N868">
        <f t="shared" si="54"/>
        <v>45</v>
      </c>
      <c r="O868" s="5">
        <f t="shared" si="55"/>
        <v>90</v>
      </c>
    </row>
    <row r="869" spans="1:15" x14ac:dyDescent="0.3">
      <c r="A869" t="s">
        <v>899</v>
      </c>
      <c r="B869" s="3">
        <v>46115</v>
      </c>
      <c r="C869" t="s">
        <v>835</v>
      </c>
      <c r="D869" t="s">
        <v>22</v>
      </c>
      <c r="E869">
        <v>22</v>
      </c>
      <c r="F869">
        <v>50</v>
      </c>
      <c r="G869">
        <v>0.2</v>
      </c>
      <c r="H869">
        <v>20</v>
      </c>
      <c r="I869" t="s">
        <v>836</v>
      </c>
      <c r="J869" t="s">
        <v>19</v>
      </c>
      <c r="K869">
        <v>15</v>
      </c>
      <c r="L869">
        <f t="shared" si="52"/>
        <v>1100</v>
      </c>
      <c r="M869">
        <f t="shared" si="53"/>
        <v>10</v>
      </c>
      <c r="N869">
        <f t="shared" si="54"/>
        <v>330</v>
      </c>
      <c r="O869" s="5">
        <f t="shared" si="55"/>
        <v>750</v>
      </c>
    </row>
    <row r="870" spans="1:15" x14ac:dyDescent="0.3">
      <c r="A870" t="s">
        <v>900</v>
      </c>
      <c r="B870" s="3">
        <v>46247</v>
      </c>
      <c r="C870" t="s">
        <v>835</v>
      </c>
      <c r="D870" t="s">
        <v>22</v>
      </c>
      <c r="E870">
        <v>20</v>
      </c>
      <c r="F870">
        <v>50</v>
      </c>
      <c r="G870">
        <v>0</v>
      </c>
      <c r="H870">
        <v>10</v>
      </c>
      <c r="I870" t="s">
        <v>836</v>
      </c>
      <c r="J870" t="s">
        <v>19</v>
      </c>
      <c r="K870">
        <v>15</v>
      </c>
      <c r="L870">
        <f t="shared" si="52"/>
        <v>1000</v>
      </c>
      <c r="M870">
        <f t="shared" si="53"/>
        <v>0</v>
      </c>
      <c r="N870">
        <f t="shared" si="54"/>
        <v>300</v>
      </c>
      <c r="O870" s="5">
        <f t="shared" si="55"/>
        <v>690</v>
      </c>
    </row>
    <row r="871" spans="1:15" x14ac:dyDescent="0.3">
      <c r="A871" t="s">
        <v>901</v>
      </c>
      <c r="B871" s="3">
        <v>46098</v>
      </c>
      <c r="C871" t="s">
        <v>835</v>
      </c>
      <c r="D871" t="s">
        <v>17</v>
      </c>
      <c r="E871">
        <v>7</v>
      </c>
      <c r="F871">
        <v>50</v>
      </c>
      <c r="G871">
        <v>0.2</v>
      </c>
      <c r="H871">
        <v>15</v>
      </c>
      <c r="I871" t="s">
        <v>836</v>
      </c>
      <c r="J871" t="s">
        <v>19</v>
      </c>
      <c r="K871">
        <v>15</v>
      </c>
      <c r="L871">
        <f t="shared" si="52"/>
        <v>350</v>
      </c>
      <c r="M871">
        <f t="shared" si="53"/>
        <v>10</v>
      </c>
      <c r="N871">
        <f t="shared" si="54"/>
        <v>105</v>
      </c>
      <c r="O871" s="5">
        <f t="shared" si="55"/>
        <v>230</v>
      </c>
    </row>
    <row r="872" spans="1:15" x14ac:dyDescent="0.3">
      <c r="A872" t="s">
        <v>902</v>
      </c>
      <c r="B872" s="3">
        <v>46243</v>
      </c>
      <c r="C872" t="s">
        <v>835</v>
      </c>
      <c r="D872" t="s">
        <v>22</v>
      </c>
      <c r="E872">
        <v>17</v>
      </c>
      <c r="F872">
        <v>50</v>
      </c>
      <c r="G872">
        <v>0.2</v>
      </c>
      <c r="H872">
        <v>15</v>
      </c>
      <c r="I872" t="s">
        <v>836</v>
      </c>
      <c r="J872" t="s">
        <v>19</v>
      </c>
      <c r="K872">
        <v>15</v>
      </c>
      <c r="L872">
        <f t="shared" si="52"/>
        <v>850</v>
      </c>
      <c r="M872">
        <f t="shared" si="53"/>
        <v>10</v>
      </c>
      <c r="N872">
        <f t="shared" si="54"/>
        <v>255</v>
      </c>
      <c r="O872" s="5">
        <f t="shared" si="55"/>
        <v>580</v>
      </c>
    </row>
    <row r="873" spans="1:15" x14ac:dyDescent="0.3">
      <c r="A873" t="s">
        <v>903</v>
      </c>
      <c r="B873" s="3">
        <v>46029</v>
      </c>
      <c r="C873" t="s">
        <v>835</v>
      </c>
      <c r="D873" t="s">
        <v>17</v>
      </c>
      <c r="E873">
        <v>11</v>
      </c>
      <c r="F873">
        <v>50</v>
      </c>
      <c r="G873">
        <v>0.35</v>
      </c>
      <c r="H873">
        <v>15</v>
      </c>
      <c r="I873" t="s">
        <v>836</v>
      </c>
      <c r="J873" t="s">
        <v>19</v>
      </c>
      <c r="K873">
        <v>15</v>
      </c>
      <c r="L873">
        <f t="shared" si="52"/>
        <v>550</v>
      </c>
      <c r="M873">
        <f t="shared" si="53"/>
        <v>17.5</v>
      </c>
      <c r="N873">
        <f t="shared" si="54"/>
        <v>165</v>
      </c>
      <c r="O873" s="5">
        <f t="shared" si="55"/>
        <v>370</v>
      </c>
    </row>
    <row r="874" spans="1:15" x14ac:dyDescent="0.3">
      <c r="A874" t="s">
        <v>904</v>
      </c>
      <c r="B874" s="3">
        <v>46371</v>
      </c>
      <c r="C874" t="s">
        <v>835</v>
      </c>
      <c r="D874" t="s">
        <v>22</v>
      </c>
      <c r="E874">
        <v>24</v>
      </c>
      <c r="F874">
        <v>50</v>
      </c>
      <c r="G874">
        <v>0.1</v>
      </c>
      <c r="H874">
        <v>5</v>
      </c>
      <c r="I874" t="s">
        <v>836</v>
      </c>
      <c r="J874" t="s">
        <v>19</v>
      </c>
      <c r="K874">
        <v>15</v>
      </c>
      <c r="L874">
        <f t="shared" si="52"/>
        <v>1200</v>
      </c>
      <c r="M874">
        <f t="shared" si="53"/>
        <v>5</v>
      </c>
      <c r="N874">
        <f t="shared" si="54"/>
        <v>360</v>
      </c>
      <c r="O874" s="5">
        <f t="shared" si="55"/>
        <v>835</v>
      </c>
    </row>
    <row r="875" spans="1:15" x14ac:dyDescent="0.3">
      <c r="A875" t="s">
        <v>905</v>
      </c>
      <c r="B875" s="3">
        <v>46357</v>
      </c>
      <c r="C875" t="s">
        <v>835</v>
      </c>
      <c r="D875" t="s">
        <v>24</v>
      </c>
      <c r="E875">
        <v>17</v>
      </c>
      <c r="F875">
        <v>50</v>
      </c>
      <c r="G875">
        <v>0.1</v>
      </c>
      <c r="H875">
        <v>5</v>
      </c>
      <c r="I875" t="s">
        <v>836</v>
      </c>
      <c r="J875" t="s">
        <v>19</v>
      </c>
      <c r="K875">
        <v>15</v>
      </c>
      <c r="L875">
        <f t="shared" si="52"/>
        <v>850</v>
      </c>
      <c r="M875">
        <f t="shared" si="53"/>
        <v>5</v>
      </c>
      <c r="N875">
        <f t="shared" si="54"/>
        <v>255</v>
      </c>
      <c r="O875" s="5">
        <f t="shared" si="55"/>
        <v>590</v>
      </c>
    </row>
    <row r="876" spans="1:15" x14ac:dyDescent="0.3">
      <c r="A876" t="s">
        <v>906</v>
      </c>
      <c r="B876" s="3">
        <v>46104</v>
      </c>
      <c r="C876" t="s">
        <v>835</v>
      </c>
      <c r="D876" t="s">
        <v>24</v>
      </c>
      <c r="E876">
        <v>15</v>
      </c>
      <c r="F876">
        <v>50</v>
      </c>
      <c r="G876">
        <v>0.1</v>
      </c>
      <c r="H876">
        <v>5</v>
      </c>
      <c r="I876" t="s">
        <v>836</v>
      </c>
      <c r="J876" t="s">
        <v>19</v>
      </c>
      <c r="K876">
        <v>15</v>
      </c>
      <c r="L876">
        <f t="shared" si="52"/>
        <v>750</v>
      </c>
      <c r="M876">
        <f t="shared" si="53"/>
        <v>5</v>
      </c>
      <c r="N876">
        <f t="shared" si="54"/>
        <v>225</v>
      </c>
      <c r="O876" s="5">
        <f t="shared" si="55"/>
        <v>520</v>
      </c>
    </row>
    <row r="877" spans="1:15" x14ac:dyDescent="0.3">
      <c r="A877" t="s">
        <v>907</v>
      </c>
      <c r="B877" s="3">
        <v>46163</v>
      </c>
      <c r="C877" t="s">
        <v>835</v>
      </c>
      <c r="D877" t="s">
        <v>17</v>
      </c>
      <c r="E877">
        <v>23</v>
      </c>
      <c r="F877">
        <v>50</v>
      </c>
      <c r="G877">
        <v>0.1</v>
      </c>
      <c r="H877">
        <v>5</v>
      </c>
      <c r="I877" t="s">
        <v>836</v>
      </c>
      <c r="J877" t="s">
        <v>19</v>
      </c>
      <c r="K877">
        <v>15</v>
      </c>
      <c r="L877">
        <f t="shared" si="52"/>
        <v>1150</v>
      </c>
      <c r="M877">
        <f t="shared" si="53"/>
        <v>5</v>
      </c>
      <c r="N877">
        <f t="shared" si="54"/>
        <v>345</v>
      </c>
      <c r="O877" s="5">
        <f t="shared" si="55"/>
        <v>800</v>
      </c>
    </row>
    <row r="878" spans="1:15" x14ac:dyDescent="0.3">
      <c r="A878" t="s">
        <v>908</v>
      </c>
      <c r="B878" s="3">
        <v>46367</v>
      </c>
      <c r="C878" t="s">
        <v>835</v>
      </c>
      <c r="D878" t="s">
        <v>17</v>
      </c>
      <c r="E878">
        <v>4</v>
      </c>
      <c r="F878">
        <v>50</v>
      </c>
      <c r="G878">
        <v>0.1</v>
      </c>
      <c r="H878">
        <v>15</v>
      </c>
      <c r="I878" t="s">
        <v>836</v>
      </c>
      <c r="J878" t="s">
        <v>19</v>
      </c>
      <c r="K878">
        <v>15</v>
      </c>
      <c r="L878">
        <f t="shared" si="52"/>
        <v>200</v>
      </c>
      <c r="M878">
        <f t="shared" si="53"/>
        <v>5</v>
      </c>
      <c r="N878">
        <f t="shared" si="54"/>
        <v>60</v>
      </c>
      <c r="O878" s="5">
        <f t="shared" si="55"/>
        <v>125</v>
      </c>
    </row>
    <row r="879" spans="1:15" x14ac:dyDescent="0.3">
      <c r="A879" t="s">
        <v>909</v>
      </c>
      <c r="B879" s="3">
        <v>46310</v>
      </c>
      <c r="C879" t="s">
        <v>835</v>
      </c>
      <c r="D879" t="s">
        <v>17</v>
      </c>
      <c r="E879">
        <v>17</v>
      </c>
      <c r="F879">
        <v>50</v>
      </c>
      <c r="G879">
        <v>0</v>
      </c>
      <c r="H879">
        <v>5</v>
      </c>
      <c r="I879" t="s">
        <v>836</v>
      </c>
      <c r="J879" t="s">
        <v>19</v>
      </c>
      <c r="K879">
        <v>15</v>
      </c>
      <c r="L879">
        <f t="shared" si="52"/>
        <v>850</v>
      </c>
      <c r="M879">
        <f t="shared" si="53"/>
        <v>0</v>
      </c>
      <c r="N879">
        <f t="shared" si="54"/>
        <v>255</v>
      </c>
      <c r="O879" s="5">
        <f t="shared" si="55"/>
        <v>590</v>
      </c>
    </row>
    <row r="880" spans="1:15" x14ac:dyDescent="0.3">
      <c r="A880" t="s">
        <v>910</v>
      </c>
      <c r="B880" s="3">
        <v>46374</v>
      </c>
      <c r="C880" t="s">
        <v>835</v>
      </c>
      <c r="D880" t="s">
        <v>17</v>
      </c>
      <c r="E880">
        <v>4</v>
      </c>
      <c r="F880">
        <v>50</v>
      </c>
      <c r="G880">
        <v>0</v>
      </c>
      <c r="H880">
        <v>20</v>
      </c>
      <c r="I880" t="s">
        <v>836</v>
      </c>
      <c r="J880" t="s">
        <v>19</v>
      </c>
      <c r="K880">
        <v>15</v>
      </c>
      <c r="L880">
        <f t="shared" si="52"/>
        <v>200</v>
      </c>
      <c r="M880">
        <f t="shared" si="53"/>
        <v>0</v>
      </c>
      <c r="N880">
        <f t="shared" si="54"/>
        <v>60</v>
      </c>
      <c r="O880" s="5">
        <f t="shared" si="55"/>
        <v>120</v>
      </c>
    </row>
    <row r="881" spans="1:15" x14ac:dyDescent="0.3">
      <c r="A881" t="s">
        <v>911</v>
      </c>
      <c r="B881" s="3">
        <v>46302</v>
      </c>
      <c r="C881" t="s">
        <v>835</v>
      </c>
      <c r="D881" t="s">
        <v>22</v>
      </c>
      <c r="E881">
        <v>7</v>
      </c>
      <c r="F881">
        <v>50</v>
      </c>
      <c r="G881">
        <v>0</v>
      </c>
      <c r="H881">
        <v>20</v>
      </c>
      <c r="I881" t="s">
        <v>836</v>
      </c>
      <c r="J881" t="s">
        <v>19</v>
      </c>
      <c r="K881">
        <v>15</v>
      </c>
      <c r="L881">
        <f t="shared" si="52"/>
        <v>350</v>
      </c>
      <c r="M881">
        <f t="shared" si="53"/>
        <v>0</v>
      </c>
      <c r="N881">
        <f t="shared" si="54"/>
        <v>105</v>
      </c>
      <c r="O881" s="5">
        <f t="shared" si="55"/>
        <v>225</v>
      </c>
    </row>
    <row r="882" spans="1:15" x14ac:dyDescent="0.3">
      <c r="A882" t="s">
        <v>912</v>
      </c>
      <c r="B882" s="3">
        <v>46138</v>
      </c>
      <c r="C882" t="s">
        <v>835</v>
      </c>
      <c r="D882" t="s">
        <v>22</v>
      </c>
      <c r="E882">
        <v>7</v>
      </c>
      <c r="F882">
        <v>50</v>
      </c>
      <c r="G882">
        <v>0.1</v>
      </c>
      <c r="H882">
        <v>20</v>
      </c>
      <c r="I882" t="s">
        <v>836</v>
      </c>
      <c r="J882" t="s">
        <v>19</v>
      </c>
      <c r="K882">
        <v>15</v>
      </c>
      <c r="L882">
        <f t="shared" si="52"/>
        <v>350</v>
      </c>
      <c r="M882">
        <f t="shared" si="53"/>
        <v>5</v>
      </c>
      <c r="N882">
        <f t="shared" si="54"/>
        <v>105</v>
      </c>
      <c r="O882" s="5">
        <f t="shared" si="55"/>
        <v>225</v>
      </c>
    </row>
    <row r="883" spans="1:15" x14ac:dyDescent="0.3">
      <c r="A883" t="s">
        <v>913</v>
      </c>
      <c r="B883" s="3">
        <v>46202</v>
      </c>
      <c r="C883" t="s">
        <v>835</v>
      </c>
      <c r="D883" t="s">
        <v>24</v>
      </c>
      <c r="E883">
        <v>14</v>
      </c>
      <c r="F883">
        <v>50</v>
      </c>
      <c r="G883">
        <v>0</v>
      </c>
      <c r="H883">
        <v>10</v>
      </c>
      <c r="I883" t="s">
        <v>836</v>
      </c>
      <c r="J883" t="s">
        <v>19</v>
      </c>
      <c r="K883">
        <v>15</v>
      </c>
      <c r="L883">
        <f t="shared" si="52"/>
        <v>700</v>
      </c>
      <c r="M883">
        <f t="shared" si="53"/>
        <v>0</v>
      </c>
      <c r="N883">
        <f t="shared" si="54"/>
        <v>210</v>
      </c>
      <c r="O883" s="5">
        <f t="shared" si="55"/>
        <v>480</v>
      </c>
    </row>
    <row r="884" spans="1:15" x14ac:dyDescent="0.3">
      <c r="A884" t="s">
        <v>914</v>
      </c>
      <c r="B884" s="3">
        <v>46368</v>
      </c>
      <c r="C884" t="s">
        <v>835</v>
      </c>
      <c r="D884" t="s">
        <v>17</v>
      </c>
      <c r="E884">
        <v>3</v>
      </c>
      <c r="F884">
        <v>50</v>
      </c>
      <c r="G884">
        <v>0.1</v>
      </c>
      <c r="H884">
        <v>20</v>
      </c>
      <c r="I884" t="s">
        <v>836</v>
      </c>
      <c r="J884" t="s">
        <v>19</v>
      </c>
      <c r="K884">
        <v>15</v>
      </c>
      <c r="L884">
        <f t="shared" si="52"/>
        <v>150</v>
      </c>
      <c r="M884">
        <f t="shared" si="53"/>
        <v>5</v>
      </c>
      <c r="N884">
        <f t="shared" si="54"/>
        <v>45</v>
      </c>
      <c r="O884" s="5">
        <f t="shared" si="55"/>
        <v>85</v>
      </c>
    </row>
    <row r="885" spans="1:15" x14ac:dyDescent="0.3">
      <c r="A885" t="s">
        <v>915</v>
      </c>
      <c r="B885" s="3">
        <v>46355</v>
      </c>
      <c r="C885" t="s">
        <v>835</v>
      </c>
      <c r="D885" t="s">
        <v>24</v>
      </c>
      <c r="E885">
        <v>10</v>
      </c>
      <c r="F885">
        <v>50</v>
      </c>
      <c r="G885">
        <v>0.2</v>
      </c>
      <c r="H885">
        <v>20</v>
      </c>
      <c r="I885" t="s">
        <v>836</v>
      </c>
      <c r="J885" t="s">
        <v>19</v>
      </c>
      <c r="K885">
        <v>15</v>
      </c>
      <c r="L885">
        <f t="shared" si="52"/>
        <v>500</v>
      </c>
      <c r="M885">
        <f t="shared" si="53"/>
        <v>10</v>
      </c>
      <c r="N885">
        <f t="shared" si="54"/>
        <v>150</v>
      </c>
      <c r="O885" s="5">
        <f t="shared" si="55"/>
        <v>330</v>
      </c>
    </row>
    <row r="886" spans="1:15" x14ac:dyDescent="0.3">
      <c r="A886" t="s">
        <v>916</v>
      </c>
      <c r="B886" s="3">
        <v>46212</v>
      </c>
      <c r="C886" t="s">
        <v>835</v>
      </c>
      <c r="D886" t="s">
        <v>34</v>
      </c>
      <c r="E886">
        <v>12</v>
      </c>
      <c r="F886">
        <v>50</v>
      </c>
      <c r="G886">
        <v>0.35</v>
      </c>
      <c r="H886">
        <v>10</v>
      </c>
      <c r="I886" t="s">
        <v>836</v>
      </c>
      <c r="J886" t="s">
        <v>19</v>
      </c>
      <c r="K886">
        <v>15</v>
      </c>
      <c r="L886">
        <f t="shared" si="52"/>
        <v>600</v>
      </c>
      <c r="M886">
        <f t="shared" si="53"/>
        <v>17.5</v>
      </c>
      <c r="N886">
        <f t="shared" si="54"/>
        <v>180</v>
      </c>
      <c r="O886" s="5">
        <f t="shared" si="55"/>
        <v>410</v>
      </c>
    </row>
    <row r="887" spans="1:15" x14ac:dyDescent="0.3">
      <c r="A887" t="s">
        <v>917</v>
      </c>
      <c r="B887" s="3">
        <v>46212</v>
      </c>
      <c r="C887" t="s">
        <v>835</v>
      </c>
      <c r="D887" t="s">
        <v>17</v>
      </c>
      <c r="E887">
        <v>6</v>
      </c>
      <c r="F887">
        <v>50</v>
      </c>
      <c r="G887">
        <v>0.35</v>
      </c>
      <c r="H887">
        <v>15</v>
      </c>
      <c r="I887" t="s">
        <v>836</v>
      </c>
      <c r="J887" t="s">
        <v>19</v>
      </c>
      <c r="K887">
        <v>15</v>
      </c>
      <c r="L887">
        <f t="shared" si="52"/>
        <v>300</v>
      </c>
      <c r="M887">
        <f t="shared" si="53"/>
        <v>17.5</v>
      </c>
      <c r="N887">
        <f t="shared" si="54"/>
        <v>90</v>
      </c>
      <c r="O887" s="5">
        <f t="shared" si="55"/>
        <v>195</v>
      </c>
    </row>
    <row r="888" spans="1:15" x14ac:dyDescent="0.3">
      <c r="A888" t="s">
        <v>918</v>
      </c>
      <c r="B888" s="3">
        <v>46386</v>
      </c>
      <c r="C888" t="s">
        <v>835</v>
      </c>
      <c r="D888" t="s">
        <v>22</v>
      </c>
      <c r="E888">
        <v>8</v>
      </c>
      <c r="F888">
        <v>50</v>
      </c>
      <c r="G888">
        <v>0.1</v>
      </c>
      <c r="H888">
        <v>20</v>
      </c>
      <c r="I888" t="s">
        <v>836</v>
      </c>
      <c r="J888" t="s">
        <v>19</v>
      </c>
      <c r="K888">
        <v>15</v>
      </c>
      <c r="L888">
        <f t="shared" si="52"/>
        <v>400</v>
      </c>
      <c r="M888">
        <f t="shared" si="53"/>
        <v>5</v>
      </c>
      <c r="N888">
        <f t="shared" si="54"/>
        <v>120</v>
      </c>
      <c r="O888" s="5">
        <f t="shared" si="55"/>
        <v>260</v>
      </c>
    </row>
    <row r="889" spans="1:15" x14ac:dyDescent="0.3">
      <c r="A889" t="s">
        <v>919</v>
      </c>
      <c r="B889" s="3">
        <v>46068</v>
      </c>
      <c r="C889" t="s">
        <v>835</v>
      </c>
      <c r="D889" t="s">
        <v>17</v>
      </c>
      <c r="E889">
        <v>10</v>
      </c>
      <c r="F889">
        <v>50</v>
      </c>
      <c r="G889">
        <v>0.1</v>
      </c>
      <c r="H889">
        <v>20</v>
      </c>
      <c r="I889" t="s">
        <v>836</v>
      </c>
      <c r="J889" t="s">
        <v>19</v>
      </c>
      <c r="K889">
        <v>15</v>
      </c>
      <c r="L889">
        <f t="shared" si="52"/>
        <v>500</v>
      </c>
      <c r="M889">
        <f t="shared" si="53"/>
        <v>5</v>
      </c>
      <c r="N889">
        <f t="shared" si="54"/>
        <v>150</v>
      </c>
      <c r="O889" s="5">
        <f t="shared" si="55"/>
        <v>330</v>
      </c>
    </row>
    <row r="890" spans="1:15" x14ac:dyDescent="0.3">
      <c r="A890" t="s">
        <v>920</v>
      </c>
      <c r="B890" s="3">
        <v>46276</v>
      </c>
      <c r="C890" t="s">
        <v>835</v>
      </c>
      <c r="D890" t="s">
        <v>24</v>
      </c>
      <c r="E890">
        <v>19</v>
      </c>
      <c r="F890">
        <v>50</v>
      </c>
      <c r="G890">
        <v>0.2</v>
      </c>
      <c r="H890">
        <v>10</v>
      </c>
      <c r="I890" t="s">
        <v>836</v>
      </c>
      <c r="J890" t="s">
        <v>19</v>
      </c>
      <c r="K890">
        <v>15</v>
      </c>
      <c r="L890">
        <f t="shared" si="52"/>
        <v>950</v>
      </c>
      <c r="M890">
        <f t="shared" si="53"/>
        <v>10</v>
      </c>
      <c r="N890">
        <f t="shared" si="54"/>
        <v>285</v>
      </c>
      <c r="O890" s="5">
        <f t="shared" si="55"/>
        <v>655</v>
      </c>
    </row>
    <row r="891" spans="1:15" x14ac:dyDescent="0.3">
      <c r="A891" t="s">
        <v>921</v>
      </c>
      <c r="B891" s="3">
        <v>46264</v>
      </c>
      <c r="C891" t="s">
        <v>835</v>
      </c>
      <c r="D891" t="s">
        <v>24</v>
      </c>
      <c r="E891">
        <v>23</v>
      </c>
      <c r="F891">
        <v>50</v>
      </c>
      <c r="G891">
        <v>0.1</v>
      </c>
      <c r="H891">
        <v>15</v>
      </c>
      <c r="I891" t="s">
        <v>836</v>
      </c>
      <c r="J891" t="s">
        <v>19</v>
      </c>
      <c r="K891">
        <v>15</v>
      </c>
      <c r="L891">
        <f t="shared" si="52"/>
        <v>1150</v>
      </c>
      <c r="M891">
        <f t="shared" si="53"/>
        <v>5</v>
      </c>
      <c r="N891">
        <f t="shared" si="54"/>
        <v>345</v>
      </c>
      <c r="O891" s="5">
        <f t="shared" si="55"/>
        <v>790</v>
      </c>
    </row>
    <row r="892" spans="1:15" x14ac:dyDescent="0.3">
      <c r="A892" t="s">
        <v>922</v>
      </c>
      <c r="B892" s="3">
        <v>46061</v>
      </c>
      <c r="C892" t="s">
        <v>835</v>
      </c>
      <c r="D892" t="s">
        <v>17</v>
      </c>
      <c r="E892">
        <v>23</v>
      </c>
      <c r="F892">
        <v>50</v>
      </c>
      <c r="G892">
        <v>0.1</v>
      </c>
      <c r="H892">
        <v>10</v>
      </c>
      <c r="I892" t="s">
        <v>836</v>
      </c>
      <c r="J892" t="s">
        <v>19</v>
      </c>
      <c r="K892">
        <v>15</v>
      </c>
      <c r="L892">
        <f t="shared" si="52"/>
        <v>1150</v>
      </c>
      <c r="M892">
        <f t="shared" si="53"/>
        <v>5</v>
      </c>
      <c r="N892">
        <f t="shared" si="54"/>
        <v>345</v>
      </c>
      <c r="O892" s="5">
        <f t="shared" si="55"/>
        <v>795</v>
      </c>
    </row>
    <row r="893" spans="1:15" x14ac:dyDescent="0.3">
      <c r="A893" t="s">
        <v>923</v>
      </c>
      <c r="B893" s="3">
        <v>46162</v>
      </c>
      <c r="C893" t="s">
        <v>835</v>
      </c>
      <c r="D893" t="s">
        <v>17</v>
      </c>
      <c r="E893">
        <v>3</v>
      </c>
      <c r="F893">
        <v>50</v>
      </c>
      <c r="G893">
        <v>0.1</v>
      </c>
      <c r="H893">
        <v>5</v>
      </c>
      <c r="I893" t="s">
        <v>836</v>
      </c>
      <c r="J893" t="s">
        <v>19</v>
      </c>
      <c r="K893">
        <v>15</v>
      </c>
      <c r="L893">
        <f t="shared" si="52"/>
        <v>150</v>
      </c>
      <c r="M893">
        <f t="shared" si="53"/>
        <v>5</v>
      </c>
      <c r="N893">
        <f t="shared" si="54"/>
        <v>45</v>
      </c>
      <c r="O893" s="5">
        <f t="shared" si="55"/>
        <v>100</v>
      </c>
    </row>
    <row r="894" spans="1:15" x14ac:dyDescent="0.3">
      <c r="A894" t="s">
        <v>924</v>
      </c>
      <c r="B894" s="3">
        <v>46243</v>
      </c>
      <c r="C894" t="s">
        <v>835</v>
      </c>
      <c r="D894" t="s">
        <v>22</v>
      </c>
      <c r="E894">
        <v>4</v>
      </c>
      <c r="F894">
        <v>50</v>
      </c>
      <c r="G894">
        <v>0.2</v>
      </c>
      <c r="H894">
        <v>15</v>
      </c>
      <c r="I894" t="s">
        <v>836</v>
      </c>
      <c r="J894" t="s">
        <v>19</v>
      </c>
      <c r="K894">
        <v>15</v>
      </c>
      <c r="L894">
        <f t="shared" si="52"/>
        <v>200</v>
      </c>
      <c r="M894">
        <f t="shared" si="53"/>
        <v>10</v>
      </c>
      <c r="N894">
        <f t="shared" si="54"/>
        <v>60</v>
      </c>
      <c r="O894" s="5">
        <f t="shared" si="55"/>
        <v>125</v>
      </c>
    </row>
    <row r="895" spans="1:15" x14ac:dyDescent="0.3">
      <c r="A895" t="s">
        <v>925</v>
      </c>
      <c r="B895" s="3">
        <v>46308</v>
      </c>
      <c r="C895" t="s">
        <v>835</v>
      </c>
      <c r="D895" t="s">
        <v>22</v>
      </c>
      <c r="E895">
        <v>13</v>
      </c>
      <c r="F895">
        <v>50</v>
      </c>
      <c r="G895">
        <v>0.2</v>
      </c>
      <c r="H895">
        <v>5</v>
      </c>
      <c r="I895" t="s">
        <v>836</v>
      </c>
      <c r="J895" t="s">
        <v>19</v>
      </c>
      <c r="K895">
        <v>15</v>
      </c>
      <c r="L895">
        <f t="shared" si="52"/>
        <v>650</v>
      </c>
      <c r="M895">
        <f t="shared" si="53"/>
        <v>10</v>
      </c>
      <c r="N895">
        <f t="shared" si="54"/>
        <v>195</v>
      </c>
      <c r="O895" s="5">
        <f t="shared" si="55"/>
        <v>450</v>
      </c>
    </row>
    <row r="896" spans="1:15" x14ac:dyDescent="0.3">
      <c r="A896" t="s">
        <v>926</v>
      </c>
      <c r="B896" s="3">
        <v>46311</v>
      </c>
      <c r="C896" t="s">
        <v>835</v>
      </c>
      <c r="D896" t="s">
        <v>17</v>
      </c>
      <c r="E896">
        <v>5</v>
      </c>
      <c r="F896">
        <v>50</v>
      </c>
      <c r="G896">
        <v>0.2</v>
      </c>
      <c r="H896">
        <v>5</v>
      </c>
      <c r="I896" t="s">
        <v>836</v>
      </c>
      <c r="J896" t="s">
        <v>19</v>
      </c>
      <c r="K896">
        <v>15</v>
      </c>
      <c r="L896">
        <f t="shared" si="52"/>
        <v>250</v>
      </c>
      <c r="M896">
        <f t="shared" si="53"/>
        <v>10</v>
      </c>
      <c r="N896">
        <f t="shared" si="54"/>
        <v>75</v>
      </c>
      <c r="O896" s="5">
        <f t="shared" si="55"/>
        <v>170</v>
      </c>
    </row>
    <row r="897" spans="1:15" x14ac:dyDescent="0.3">
      <c r="A897" t="s">
        <v>927</v>
      </c>
      <c r="B897" s="3">
        <v>46038</v>
      </c>
      <c r="C897" t="s">
        <v>835</v>
      </c>
      <c r="D897" t="s">
        <v>17</v>
      </c>
      <c r="E897">
        <v>15</v>
      </c>
      <c r="F897">
        <v>50</v>
      </c>
      <c r="G897">
        <v>0.1</v>
      </c>
      <c r="H897">
        <v>20</v>
      </c>
      <c r="I897" t="s">
        <v>836</v>
      </c>
      <c r="J897" t="s">
        <v>19</v>
      </c>
      <c r="K897">
        <v>15</v>
      </c>
      <c r="L897">
        <f t="shared" si="52"/>
        <v>750</v>
      </c>
      <c r="M897">
        <f t="shared" si="53"/>
        <v>5</v>
      </c>
      <c r="N897">
        <f t="shared" si="54"/>
        <v>225</v>
      </c>
      <c r="O897" s="5">
        <f t="shared" si="55"/>
        <v>505</v>
      </c>
    </row>
    <row r="898" spans="1:15" x14ac:dyDescent="0.3">
      <c r="A898" t="s">
        <v>928</v>
      </c>
      <c r="B898" s="3">
        <v>46113</v>
      </c>
      <c r="C898" t="s">
        <v>835</v>
      </c>
      <c r="D898" t="s">
        <v>17</v>
      </c>
      <c r="E898">
        <v>8</v>
      </c>
      <c r="F898">
        <v>50</v>
      </c>
      <c r="G898">
        <v>0</v>
      </c>
      <c r="H898">
        <v>15</v>
      </c>
      <c r="I898" t="s">
        <v>836</v>
      </c>
      <c r="J898" t="s">
        <v>19</v>
      </c>
      <c r="K898">
        <v>15</v>
      </c>
      <c r="L898">
        <f t="shared" ref="L898:L961" si="56">E898*F898</f>
        <v>400</v>
      </c>
      <c r="M898">
        <f t="shared" ref="M898:M961" si="57">F898*G898</f>
        <v>0</v>
      </c>
      <c r="N898">
        <f t="shared" ref="N898:N961" si="58">E898*K898</f>
        <v>120</v>
      </c>
      <c r="O898" s="5">
        <f t="shared" ref="O898:O961" si="59">L898-H898-N898</f>
        <v>265</v>
      </c>
    </row>
    <row r="899" spans="1:15" x14ac:dyDescent="0.3">
      <c r="A899" t="s">
        <v>929</v>
      </c>
      <c r="B899" s="3">
        <v>46228</v>
      </c>
      <c r="C899" t="s">
        <v>835</v>
      </c>
      <c r="D899" t="s">
        <v>24</v>
      </c>
      <c r="E899">
        <v>14</v>
      </c>
      <c r="F899">
        <v>50</v>
      </c>
      <c r="G899">
        <v>0.2</v>
      </c>
      <c r="H899">
        <v>10</v>
      </c>
      <c r="I899" t="s">
        <v>836</v>
      </c>
      <c r="J899" t="s">
        <v>19</v>
      </c>
      <c r="K899">
        <v>15</v>
      </c>
      <c r="L899">
        <f t="shared" si="56"/>
        <v>700</v>
      </c>
      <c r="M899">
        <f t="shared" si="57"/>
        <v>10</v>
      </c>
      <c r="N899">
        <f t="shared" si="58"/>
        <v>210</v>
      </c>
      <c r="O899" s="5">
        <f t="shared" si="59"/>
        <v>480</v>
      </c>
    </row>
    <row r="900" spans="1:15" x14ac:dyDescent="0.3">
      <c r="A900" t="s">
        <v>930</v>
      </c>
      <c r="B900" s="3">
        <v>46166</v>
      </c>
      <c r="C900" t="s">
        <v>835</v>
      </c>
      <c r="D900" t="s">
        <v>17</v>
      </c>
      <c r="E900">
        <v>11</v>
      </c>
      <c r="F900">
        <v>50</v>
      </c>
      <c r="G900">
        <v>0</v>
      </c>
      <c r="H900">
        <v>15</v>
      </c>
      <c r="I900" t="s">
        <v>836</v>
      </c>
      <c r="J900" t="s">
        <v>19</v>
      </c>
      <c r="K900">
        <v>15</v>
      </c>
      <c r="L900">
        <f t="shared" si="56"/>
        <v>550</v>
      </c>
      <c r="M900">
        <f t="shared" si="57"/>
        <v>0</v>
      </c>
      <c r="N900">
        <f t="shared" si="58"/>
        <v>165</v>
      </c>
      <c r="O900" s="5">
        <f t="shared" si="59"/>
        <v>370</v>
      </c>
    </row>
    <row r="901" spans="1:15" x14ac:dyDescent="0.3">
      <c r="A901" t="s">
        <v>931</v>
      </c>
      <c r="B901" s="3">
        <v>46143</v>
      </c>
      <c r="C901" t="s">
        <v>835</v>
      </c>
      <c r="D901" t="s">
        <v>22</v>
      </c>
      <c r="E901">
        <v>13</v>
      </c>
      <c r="F901">
        <v>50</v>
      </c>
      <c r="G901">
        <v>0.2</v>
      </c>
      <c r="H901">
        <v>10</v>
      </c>
      <c r="I901" t="s">
        <v>836</v>
      </c>
      <c r="J901" t="s">
        <v>19</v>
      </c>
      <c r="K901">
        <v>15</v>
      </c>
      <c r="L901">
        <f t="shared" si="56"/>
        <v>650</v>
      </c>
      <c r="M901">
        <f t="shared" si="57"/>
        <v>10</v>
      </c>
      <c r="N901">
        <f t="shared" si="58"/>
        <v>195</v>
      </c>
      <c r="O901" s="5">
        <f t="shared" si="59"/>
        <v>445</v>
      </c>
    </row>
    <row r="902" spans="1:15" x14ac:dyDescent="0.3">
      <c r="A902" t="s">
        <v>932</v>
      </c>
      <c r="B902" s="3">
        <v>46387</v>
      </c>
      <c r="C902" t="s">
        <v>835</v>
      </c>
      <c r="D902" t="s">
        <v>34</v>
      </c>
      <c r="E902">
        <v>25</v>
      </c>
      <c r="F902">
        <v>50</v>
      </c>
      <c r="G902">
        <v>0.1</v>
      </c>
      <c r="H902">
        <v>5</v>
      </c>
      <c r="I902" t="s">
        <v>836</v>
      </c>
      <c r="J902" t="s">
        <v>19</v>
      </c>
      <c r="K902">
        <v>15</v>
      </c>
      <c r="L902">
        <f t="shared" si="56"/>
        <v>1250</v>
      </c>
      <c r="M902">
        <f t="shared" si="57"/>
        <v>5</v>
      </c>
      <c r="N902">
        <f t="shared" si="58"/>
        <v>375</v>
      </c>
      <c r="O902" s="5">
        <f t="shared" si="59"/>
        <v>870</v>
      </c>
    </row>
    <row r="903" spans="1:15" x14ac:dyDescent="0.3">
      <c r="A903" t="s">
        <v>933</v>
      </c>
      <c r="B903" s="3">
        <v>46138</v>
      </c>
      <c r="C903" t="s">
        <v>835</v>
      </c>
      <c r="D903" t="s">
        <v>17</v>
      </c>
      <c r="E903">
        <v>20</v>
      </c>
      <c r="F903">
        <v>50</v>
      </c>
      <c r="G903">
        <v>0.35</v>
      </c>
      <c r="H903">
        <v>10</v>
      </c>
      <c r="I903" t="s">
        <v>836</v>
      </c>
      <c r="J903" t="s">
        <v>19</v>
      </c>
      <c r="K903">
        <v>15</v>
      </c>
      <c r="L903">
        <f t="shared" si="56"/>
        <v>1000</v>
      </c>
      <c r="M903">
        <f t="shared" si="57"/>
        <v>17.5</v>
      </c>
      <c r="N903">
        <f t="shared" si="58"/>
        <v>300</v>
      </c>
      <c r="O903" s="5">
        <f t="shared" si="59"/>
        <v>690</v>
      </c>
    </row>
    <row r="904" spans="1:15" x14ac:dyDescent="0.3">
      <c r="A904" t="s">
        <v>934</v>
      </c>
      <c r="B904" s="3">
        <v>46148</v>
      </c>
      <c r="C904" t="s">
        <v>835</v>
      </c>
      <c r="D904" t="s">
        <v>17</v>
      </c>
      <c r="E904">
        <v>2</v>
      </c>
      <c r="F904">
        <v>50</v>
      </c>
      <c r="G904">
        <v>0.1</v>
      </c>
      <c r="H904">
        <v>10</v>
      </c>
      <c r="I904" t="s">
        <v>836</v>
      </c>
      <c r="J904" t="s">
        <v>19</v>
      </c>
      <c r="K904">
        <v>15</v>
      </c>
      <c r="L904">
        <f t="shared" si="56"/>
        <v>100</v>
      </c>
      <c r="M904">
        <f t="shared" si="57"/>
        <v>5</v>
      </c>
      <c r="N904">
        <f t="shared" si="58"/>
        <v>30</v>
      </c>
      <c r="O904" s="5">
        <f t="shared" si="59"/>
        <v>60</v>
      </c>
    </row>
    <row r="905" spans="1:15" x14ac:dyDescent="0.3">
      <c r="A905" t="s">
        <v>935</v>
      </c>
      <c r="B905" s="3">
        <v>46313</v>
      </c>
      <c r="C905" t="s">
        <v>835</v>
      </c>
      <c r="D905" t="s">
        <v>24</v>
      </c>
      <c r="E905">
        <v>8</v>
      </c>
      <c r="F905">
        <v>50</v>
      </c>
      <c r="G905">
        <v>0</v>
      </c>
      <c r="H905">
        <v>20</v>
      </c>
      <c r="I905" t="s">
        <v>836</v>
      </c>
      <c r="J905" t="s">
        <v>19</v>
      </c>
      <c r="K905">
        <v>15</v>
      </c>
      <c r="L905">
        <f t="shared" si="56"/>
        <v>400</v>
      </c>
      <c r="M905">
        <f t="shared" si="57"/>
        <v>0</v>
      </c>
      <c r="N905">
        <f t="shared" si="58"/>
        <v>120</v>
      </c>
      <c r="O905" s="5">
        <f t="shared" si="59"/>
        <v>260</v>
      </c>
    </row>
    <row r="906" spans="1:15" x14ac:dyDescent="0.3">
      <c r="A906" t="s">
        <v>936</v>
      </c>
      <c r="B906" s="3">
        <v>46163</v>
      </c>
      <c r="C906" t="s">
        <v>835</v>
      </c>
      <c r="D906" t="s">
        <v>22</v>
      </c>
      <c r="E906">
        <v>7</v>
      </c>
      <c r="F906">
        <v>50</v>
      </c>
      <c r="G906">
        <v>0</v>
      </c>
      <c r="H906">
        <v>10</v>
      </c>
      <c r="I906" t="s">
        <v>836</v>
      </c>
      <c r="J906" t="s">
        <v>19</v>
      </c>
      <c r="K906">
        <v>15</v>
      </c>
      <c r="L906">
        <f t="shared" si="56"/>
        <v>350</v>
      </c>
      <c r="M906">
        <f t="shared" si="57"/>
        <v>0</v>
      </c>
      <c r="N906">
        <f t="shared" si="58"/>
        <v>105</v>
      </c>
      <c r="O906" s="5">
        <f t="shared" si="59"/>
        <v>235</v>
      </c>
    </row>
    <row r="907" spans="1:15" x14ac:dyDescent="0.3">
      <c r="A907" t="s">
        <v>937</v>
      </c>
      <c r="B907" s="3">
        <v>46118</v>
      </c>
      <c r="C907" t="s">
        <v>835</v>
      </c>
      <c r="D907" t="s">
        <v>22</v>
      </c>
      <c r="E907">
        <v>6</v>
      </c>
      <c r="F907">
        <v>50</v>
      </c>
      <c r="G907">
        <v>0.1</v>
      </c>
      <c r="H907">
        <v>10</v>
      </c>
      <c r="I907" t="s">
        <v>836</v>
      </c>
      <c r="J907" t="s">
        <v>19</v>
      </c>
      <c r="K907">
        <v>15</v>
      </c>
      <c r="L907">
        <f t="shared" si="56"/>
        <v>300</v>
      </c>
      <c r="M907">
        <f t="shared" si="57"/>
        <v>5</v>
      </c>
      <c r="N907">
        <f t="shared" si="58"/>
        <v>90</v>
      </c>
      <c r="O907" s="5">
        <f t="shared" si="59"/>
        <v>200</v>
      </c>
    </row>
    <row r="908" spans="1:15" x14ac:dyDescent="0.3">
      <c r="A908" t="s">
        <v>938</v>
      </c>
      <c r="B908" s="3">
        <v>46263</v>
      </c>
      <c r="C908" t="s">
        <v>835</v>
      </c>
      <c r="D908" t="s">
        <v>17</v>
      </c>
      <c r="E908">
        <v>12</v>
      </c>
      <c r="F908">
        <v>50</v>
      </c>
      <c r="G908">
        <v>0.1</v>
      </c>
      <c r="H908">
        <v>10</v>
      </c>
      <c r="I908" t="s">
        <v>836</v>
      </c>
      <c r="J908" t="s">
        <v>19</v>
      </c>
      <c r="K908">
        <v>15</v>
      </c>
      <c r="L908">
        <f t="shared" si="56"/>
        <v>600</v>
      </c>
      <c r="M908">
        <f t="shared" si="57"/>
        <v>5</v>
      </c>
      <c r="N908">
        <f t="shared" si="58"/>
        <v>180</v>
      </c>
      <c r="O908" s="5">
        <f t="shared" si="59"/>
        <v>410</v>
      </c>
    </row>
    <row r="909" spans="1:15" x14ac:dyDescent="0.3">
      <c r="A909" t="s">
        <v>939</v>
      </c>
      <c r="B909" s="3">
        <v>46128</v>
      </c>
      <c r="C909" t="s">
        <v>835</v>
      </c>
      <c r="D909" t="s">
        <v>22</v>
      </c>
      <c r="E909">
        <v>20</v>
      </c>
      <c r="F909">
        <v>50</v>
      </c>
      <c r="G909">
        <v>0.2</v>
      </c>
      <c r="H909">
        <v>5</v>
      </c>
      <c r="I909" t="s">
        <v>836</v>
      </c>
      <c r="J909" t="s">
        <v>19</v>
      </c>
      <c r="K909">
        <v>15</v>
      </c>
      <c r="L909">
        <f t="shared" si="56"/>
        <v>1000</v>
      </c>
      <c r="M909">
        <f t="shared" si="57"/>
        <v>10</v>
      </c>
      <c r="N909">
        <f t="shared" si="58"/>
        <v>300</v>
      </c>
      <c r="O909" s="5">
        <f t="shared" si="59"/>
        <v>695</v>
      </c>
    </row>
    <row r="910" spans="1:15" x14ac:dyDescent="0.3">
      <c r="A910" t="s">
        <v>940</v>
      </c>
      <c r="B910" s="3">
        <v>46310</v>
      </c>
      <c r="C910" t="s">
        <v>835</v>
      </c>
      <c r="D910" t="s">
        <v>17</v>
      </c>
      <c r="E910">
        <v>17</v>
      </c>
      <c r="F910">
        <v>50</v>
      </c>
      <c r="G910">
        <v>0.1</v>
      </c>
      <c r="H910">
        <v>20</v>
      </c>
      <c r="I910" t="s">
        <v>836</v>
      </c>
      <c r="J910" t="s">
        <v>19</v>
      </c>
      <c r="K910">
        <v>15</v>
      </c>
      <c r="L910">
        <f t="shared" si="56"/>
        <v>850</v>
      </c>
      <c r="M910">
        <f t="shared" si="57"/>
        <v>5</v>
      </c>
      <c r="N910">
        <f t="shared" si="58"/>
        <v>255</v>
      </c>
      <c r="O910" s="5">
        <f t="shared" si="59"/>
        <v>575</v>
      </c>
    </row>
    <row r="911" spans="1:15" x14ac:dyDescent="0.3">
      <c r="A911" t="s">
        <v>941</v>
      </c>
      <c r="B911" s="3">
        <v>46168</v>
      </c>
      <c r="C911" t="s">
        <v>835</v>
      </c>
      <c r="D911" t="s">
        <v>34</v>
      </c>
      <c r="E911">
        <v>16</v>
      </c>
      <c r="F911">
        <v>50</v>
      </c>
      <c r="G911">
        <v>0.1</v>
      </c>
      <c r="H911">
        <v>20</v>
      </c>
      <c r="I911" t="s">
        <v>836</v>
      </c>
      <c r="J911" t="s">
        <v>19</v>
      </c>
      <c r="K911">
        <v>15</v>
      </c>
      <c r="L911">
        <f t="shared" si="56"/>
        <v>800</v>
      </c>
      <c r="M911">
        <f t="shared" si="57"/>
        <v>5</v>
      </c>
      <c r="N911">
        <f t="shared" si="58"/>
        <v>240</v>
      </c>
      <c r="O911" s="5">
        <f t="shared" si="59"/>
        <v>540</v>
      </c>
    </row>
    <row r="912" spans="1:15" x14ac:dyDescent="0.3">
      <c r="A912" t="s">
        <v>942</v>
      </c>
      <c r="B912" s="3">
        <v>46222</v>
      </c>
      <c r="C912" t="s">
        <v>835</v>
      </c>
      <c r="D912" t="s">
        <v>24</v>
      </c>
      <c r="E912">
        <v>2</v>
      </c>
      <c r="F912">
        <v>50</v>
      </c>
      <c r="G912">
        <v>0.35</v>
      </c>
      <c r="H912">
        <v>20</v>
      </c>
      <c r="I912" t="s">
        <v>836</v>
      </c>
      <c r="J912" t="s">
        <v>19</v>
      </c>
      <c r="K912">
        <v>15</v>
      </c>
      <c r="L912">
        <f t="shared" si="56"/>
        <v>100</v>
      </c>
      <c r="M912">
        <f t="shared" si="57"/>
        <v>17.5</v>
      </c>
      <c r="N912">
        <f t="shared" si="58"/>
        <v>30</v>
      </c>
      <c r="O912" s="5">
        <f t="shared" si="59"/>
        <v>50</v>
      </c>
    </row>
    <row r="913" spans="1:15" x14ac:dyDescent="0.3">
      <c r="A913" t="s">
        <v>943</v>
      </c>
      <c r="B913" s="3">
        <v>46182</v>
      </c>
      <c r="C913" t="s">
        <v>835</v>
      </c>
      <c r="D913" t="s">
        <v>17</v>
      </c>
      <c r="E913">
        <v>17</v>
      </c>
      <c r="F913">
        <v>50</v>
      </c>
      <c r="G913">
        <v>0.1</v>
      </c>
      <c r="H913">
        <v>20</v>
      </c>
      <c r="I913" t="s">
        <v>836</v>
      </c>
      <c r="J913" t="s">
        <v>19</v>
      </c>
      <c r="K913">
        <v>15</v>
      </c>
      <c r="L913">
        <f t="shared" si="56"/>
        <v>850</v>
      </c>
      <c r="M913">
        <f t="shared" si="57"/>
        <v>5</v>
      </c>
      <c r="N913">
        <f t="shared" si="58"/>
        <v>255</v>
      </c>
      <c r="O913" s="5">
        <f t="shared" si="59"/>
        <v>575</v>
      </c>
    </row>
    <row r="914" spans="1:15" x14ac:dyDescent="0.3">
      <c r="A914" t="s">
        <v>944</v>
      </c>
      <c r="B914" s="3">
        <v>46263</v>
      </c>
      <c r="C914" t="s">
        <v>835</v>
      </c>
      <c r="D914" t="s">
        <v>22</v>
      </c>
      <c r="E914">
        <v>25</v>
      </c>
      <c r="F914">
        <v>50</v>
      </c>
      <c r="G914">
        <v>0.2</v>
      </c>
      <c r="H914">
        <v>5</v>
      </c>
      <c r="I914" t="s">
        <v>836</v>
      </c>
      <c r="J914" t="s">
        <v>19</v>
      </c>
      <c r="K914">
        <v>15</v>
      </c>
      <c r="L914">
        <f t="shared" si="56"/>
        <v>1250</v>
      </c>
      <c r="M914">
        <f t="shared" si="57"/>
        <v>10</v>
      </c>
      <c r="N914">
        <f t="shared" si="58"/>
        <v>375</v>
      </c>
      <c r="O914" s="5">
        <f t="shared" si="59"/>
        <v>870</v>
      </c>
    </row>
    <row r="915" spans="1:15" x14ac:dyDescent="0.3">
      <c r="A915" t="s">
        <v>945</v>
      </c>
      <c r="B915" s="3">
        <v>46106</v>
      </c>
      <c r="C915" t="s">
        <v>835</v>
      </c>
      <c r="D915" t="s">
        <v>22</v>
      </c>
      <c r="E915">
        <v>20</v>
      </c>
      <c r="F915">
        <v>50</v>
      </c>
      <c r="G915">
        <v>0</v>
      </c>
      <c r="H915">
        <v>15</v>
      </c>
      <c r="I915" t="s">
        <v>836</v>
      </c>
      <c r="J915" t="s">
        <v>19</v>
      </c>
      <c r="K915">
        <v>15</v>
      </c>
      <c r="L915">
        <f t="shared" si="56"/>
        <v>1000</v>
      </c>
      <c r="M915">
        <f t="shared" si="57"/>
        <v>0</v>
      </c>
      <c r="N915">
        <f t="shared" si="58"/>
        <v>300</v>
      </c>
      <c r="O915" s="5">
        <f t="shared" si="59"/>
        <v>685</v>
      </c>
    </row>
    <row r="916" spans="1:15" x14ac:dyDescent="0.3">
      <c r="A916" t="s">
        <v>946</v>
      </c>
      <c r="B916" s="3">
        <v>46220</v>
      </c>
      <c r="C916" t="s">
        <v>835</v>
      </c>
      <c r="D916" t="s">
        <v>24</v>
      </c>
      <c r="E916">
        <v>6</v>
      </c>
      <c r="F916">
        <v>50</v>
      </c>
      <c r="G916">
        <v>0.35</v>
      </c>
      <c r="H916">
        <v>20</v>
      </c>
      <c r="I916" t="s">
        <v>836</v>
      </c>
      <c r="J916" t="s">
        <v>19</v>
      </c>
      <c r="K916">
        <v>15</v>
      </c>
      <c r="L916">
        <f t="shared" si="56"/>
        <v>300</v>
      </c>
      <c r="M916">
        <f t="shared" si="57"/>
        <v>17.5</v>
      </c>
      <c r="N916">
        <f t="shared" si="58"/>
        <v>90</v>
      </c>
      <c r="O916" s="5">
        <f t="shared" si="59"/>
        <v>190</v>
      </c>
    </row>
    <row r="917" spans="1:15" x14ac:dyDescent="0.3">
      <c r="A917" t="s">
        <v>947</v>
      </c>
      <c r="B917" s="3">
        <v>46315</v>
      </c>
      <c r="C917" t="s">
        <v>835</v>
      </c>
      <c r="D917" t="s">
        <v>34</v>
      </c>
      <c r="E917">
        <v>8</v>
      </c>
      <c r="F917">
        <v>50</v>
      </c>
      <c r="G917">
        <v>0</v>
      </c>
      <c r="H917">
        <v>20</v>
      </c>
      <c r="I917" t="s">
        <v>836</v>
      </c>
      <c r="J917" t="s">
        <v>19</v>
      </c>
      <c r="K917">
        <v>15</v>
      </c>
      <c r="L917">
        <f t="shared" si="56"/>
        <v>400</v>
      </c>
      <c r="M917">
        <f t="shared" si="57"/>
        <v>0</v>
      </c>
      <c r="N917">
        <f t="shared" si="58"/>
        <v>120</v>
      </c>
      <c r="O917" s="5">
        <f t="shared" si="59"/>
        <v>260</v>
      </c>
    </row>
    <row r="918" spans="1:15" x14ac:dyDescent="0.3">
      <c r="A918" t="s">
        <v>948</v>
      </c>
      <c r="B918" s="3">
        <v>46045</v>
      </c>
      <c r="C918" t="s">
        <v>835</v>
      </c>
      <c r="D918" t="s">
        <v>34</v>
      </c>
      <c r="E918">
        <v>24</v>
      </c>
      <c r="F918">
        <v>50</v>
      </c>
      <c r="G918">
        <v>0</v>
      </c>
      <c r="H918">
        <v>5</v>
      </c>
      <c r="I918" t="s">
        <v>836</v>
      </c>
      <c r="J918" t="s">
        <v>19</v>
      </c>
      <c r="K918">
        <v>15</v>
      </c>
      <c r="L918">
        <f t="shared" si="56"/>
        <v>1200</v>
      </c>
      <c r="M918">
        <f t="shared" si="57"/>
        <v>0</v>
      </c>
      <c r="N918">
        <f t="shared" si="58"/>
        <v>360</v>
      </c>
      <c r="O918" s="5">
        <f t="shared" si="59"/>
        <v>835</v>
      </c>
    </row>
    <row r="919" spans="1:15" x14ac:dyDescent="0.3">
      <c r="A919" t="s">
        <v>949</v>
      </c>
      <c r="B919" s="3">
        <v>46049</v>
      </c>
      <c r="C919" t="s">
        <v>835</v>
      </c>
      <c r="D919" t="s">
        <v>17</v>
      </c>
      <c r="E919">
        <v>11</v>
      </c>
      <c r="F919">
        <v>50</v>
      </c>
      <c r="G919">
        <v>0.2</v>
      </c>
      <c r="H919">
        <v>15</v>
      </c>
      <c r="I919" t="s">
        <v>836</v>
      </c>
      <c r="J919" t="s">
        <v>19</v>
      </c>
      <c r="K919">
        <v>15</v>
      </c>
      <c r="L919">
        <f t="shared" si="56"/>
        <v>550</v>
      </c>
      <c r="M919">
        <f t="shared" si="57"/>
        <v>10</v>
      </c>
      <c r="N919">
        <f t="shared" si="58"/>
        <v>165</v>
      </c>
      <c r="O919" s="5">
        <f t="shared" si="59"/>
        <v>370</v>
      </c>
    </row>
    <row r="920" spans="1:15" x14ac:dyDescent="0.3">
      <c r="A920" t="s">
        <v>950</v>
      </c>
      <c r="B920" s="3">
        <v>46115</v>
      </c>
      <c r="C920" t="s">
        <v>835</v>
      </c>
      <c r="D920" t="s">
        <v>22</v>
      </c>
      <c r="E920">
        <v>18</v>
      </c>
      <c r="F920">
        <v>50</v>
      </c>
      <c r="G920">
        <v>0.2</v>
      </c>
      <c r="H920">
        <v>10</v>
      </c>
      <c r="I920" t="s">
        <v>836</v>
      </c>
      <c r="J920" t="s">
        <v>19</v>
      </c>
      <c r="K920">
        <v>15</v>
      </c>
      <c r="L920">
        <f t="shared" si="56"/>
        <v>900</v>
      </c>
      <c r="M920">
        <f t="shared" si="57"/>
        <v>10</v>
      </c>
      <c r="N920">
        <f t="shared" si="58"/>
        <v>270</v>
      </c>
      <c r="O920" s="5">
        <f t="shared" si="59"/>
        <v>620</v>
      </c>
    </row>
    <row r="921" spans="1:15" x14ac:dyDescent="0.3">
      <c r="A921" t="s">
        <v>951</v>
      </c>
      <c r="B921" s="3">
        <v>46159</v>
      </c>
      <c r="C921" t="s">
        <v>835</v>
      </c>
      <c r="D921" t="s">
        <v>17</v>
      </c>
      <c r="E921">
        <v>7</v>
      </c>
      <c r="F921">
        <v>50</v>
      </c>
      <c r="G921">
        <v>0.2</v>
      </c>
      <c r="H921">
        <v>20</v>
      </c>
      <c r="I921" t="s">
        <v>836</v>
      </c>
      <c r="J921" t="s">
        <v>19</v>
      </c>
      <c r="K921">
        <v>15</v>
      </c>
      <c r="L921">
        <f t="shared" si="56"/>
        <v>350</v>
      </c>
      <c r="M921">
        <f t="shared" si="57"/>
        <v>10</v>
      </c>
      <c r="N921">
        <f t="shared" si="58"/>
        <v>105</v>
      </c>
      <c r="O921" s="5">
        <f t="shared" si="59"/>
        <v>225</v>
      </c>
    </row>
    <row r="922" spans="1:15" x14ac:dyDescent="0.3">
      <c r="A922" t="s">
        <v>952</v>
      </c>
      <c r="B922" s="3">
        <v>46327</v>
      </c>
      <c r="C922" t="s">
        <v>835</v>
      </c>
      <c r="D922" t="s">
        <v>24</v>
      </c>
      <c r="E922">
        <v>18</v>
      </c>
      <c r="F922">
        <v>50</v>
      </c>
      <c r="G922">
        <v>0</v>
      </c>
      <c r="H922">
        <v>15</v>
      </c>
      <c r="I922" t="s">
        <v>836</v>
      </c>
      <c r="J922" t="s">
        <v>19</v>
      </c>
      <c r="K922">
        <v>15</v>
      </c>
      <c r="L922">
        <f t="shared" si="56"/>
        <v>900</v>
      </c>
      <c r="M922">
        <f t="shared" si="57"/>
        <v>0</v>
      </c>
      <c r="N922">
        <f t="shared" si="58"/>
        <v>270</v>
      </c>
      <c r="O922" s="5">
        <f t="shared" si="59"/>
        <v>615</v>
      </c>
    </row>
    <row r="923" spans="1:15" x14ac:dyDescent="0.3">
      <c r="A923" t="s">
        <v>953</v>
      </c>
      <c r="B923" s="3">
        <v>46245</v>
      </c>
      <c r="C923" t="s">
        <v>835</v>
      </c>
      <c r="D923" t="s">
        <v>34</v>
      </c>
      <c r="E923">
        <v>19</v>
      </c>
      <c r="F923">
        <v>50</v>
      </c>
      <c r="G923">
        <v>0.2</v>
      </c>
      <c r="H923">
        <v>20</v>
      </c>
      <c r="I923" t="s">
        <v>836</v>
      </c>
      <c r="J923" t="s">
        <v>19</v>
      </c>
      <c r="K923">
        <v>15</v>
      </c>
      <c r="L923">
        <f t="shared" si="56"/>
        <v>950</v>
      </c>
      <c r="M923">
        <f t="shared" si="57"/>
        <v>10</v>
      </c>
      <c r="N923">
        <f t="shared" si="58"/>
        <v>285</v>
      </c>
      <c r="O923" s="5">
        <f t="shared" si="59"/>
        <v>645</v>
      </c>
    </row>
    <row r="924" spans="1:15" x14ac:dyDescent="0.3">
      <c r="A924" t="s">
        <v>954</v>
      </c>
      <c r="B924" s="3">
        <v>46221</v>
      </c>
      <c r="C924" t="s">
        <v>835</v>
      </c>
      <c r="D924" t="s">
        <v>24</v>
      </c>
      <c r="E924">
        <v>17</v>
      </c>
      <c r="F924">
        <v>50</v>
      </c>
      <c r="G924">
        <v>0</v>
      </c>
      <c r="H924">
        <v>15</v>
      </c>
      <c r="I924" t="s">
        <v>836</v>
      </c>
      <c r="J924" t="s">
        <v>19</v>
      </c>
      <c r="K924">
        <v>15</v>
      </c>
      <c r="L924">
        <f t="shared" si="56"/>
        <v>850</v>
      </c>
      <c r="M924">
        <f t="shared" si="57"/>
        <v>0</v>
      </c>
      <c r="N924">
        <f t="shared" si="58"/>
        <v>255</v>
      </c>
      <c r="O924" s="5">
        <f t="shared" si="59"/>
        <v>580</v>
      </c>
    </row>
    <row r="925" spans="1:15" x14ac:dyDescent="0.3">
      <c r="A925" t="s">
        <v>955</v>
      </c>
      <c r="B925" s="3">
        <v>46191</v>
      </c>
      <c r="C925" t="s">
        <v>835</v>
      </c>
      <c r="D925" t="s">
        <v>34</v>
      </c>
      <c r="E925">
        <v>5</v>
      </c>
      <c r="F925">
        <v>50</v>
      </c>
      <c r="G925">
        <v>0.2</v>
      </c>
      <c r="H925">
        <v>10</v>
      </c>
      <c r="I925" t="s">
        <v>836</v>
      </c>
      <c r="J925" t="s">
        <v>19</v>
      </c>
      <c r="K925">
        <v>15</v>
      </c>
      <c r="L925">
        <f t="shared" si="56"/>
        <v>250</v>
      </c>
      <c r="M925">
        <f t="shared" si="57"/>
        <v>10</v>
      </c>
      <c r="N925">
        <f t="shared" si="58"/>
        <v>75</v>
      </c>
      <c r="O925" s="5">
        <f t="shared" si="59"/>
        <v>165</v>
      </c>
    </row>
    <row r="926" spans="1:15" x14ac:dyDescent="0.3">
      <c r="A926" t="s">
        <v>956</v>
      </c>
      <c r="B926" s="3">
        <v>46157</v>
      </c>
      <c r="C926" t="s">
        <v>835</v>
      </c>
      <c r="D926" t="s">
        <v>17</v>
      </c>
      <c r="E926">
        <v>23</v>
      </c>
      <c r="F926">
        <v>50</v>
      </c>
      <c r="G926">
        <v>0.2</v>
      </c>
      <c r="H926">
        <v>15</v>
      </c>
      <c r="I926" t="s">
        <v>836</v>
      </c>
      <c r="J926" t="s">
        <v>19</v>
      </c>
      <c r="K926">
        <v>15</v>
      </c>
      <c r="L926">
        <f t="shared" si="56"/>
        <v>1150</v>
      </c>
      <c r="M926">
        <f t="shared" si="57"/>
        <v>10</v>
      </c>
      <c r="N926">
        <f t="shared" si="58"/>
        <v>345</v>
      </c>
      <c r="O926" s="5">
        <f t="shared" si="59"/>
        <v>790</v>
      </c>
    </row>
    <row r="927" spans="1:15" x14ac:dyDescent="0.3">
      <c r="A927" t="s">
        <v>957</v>
      </c>
      <c r="B927" s="3">
        <v>46210</v>
      </c>
      <c r="C927" t="s">
        <v>835</v>
      </c>
      <c r="D927" t="s">
        <v>17</v>
      </c>
      <c r="E927">
        <v>9</v>
      </c>
      <c r="F927">
        <v>50</v>
      </c>
      <c r="G927">
        <v>0.35</v>
      </c>
      <c r="H927">
        <v>5</v>
      </c>
      <c r="I927" t="s">
        <v>836</v>
      </c>
      <c r="J927" t="s">
        <v>19</v>
      </c>
      <c r="K927">
        <v>15</v>
      </c>
      <c r="L927">
        <f t="shared" si="56"/>
        <v>450</v>
      </c>
      <c r="M927">
        <f t="shared" si="57"/>
        <v>17.5</v>
      </c>
      <c r="N927">
        <f t="shared" si="58"/>
        <v>135</v>
      </c>
      <c r="O927" s="5">
        <f t="shared" si="59"/>
        <v>310</v>
      </c>
    </row>
    <row r="928" spans="1:15" x14ac:dyDescent="0.3">
      <c r="A928" t="s">
        <v>958</v>
      </c>
      <c r="B928" s="3">
        <v>46079</v>
      </c>
      <c r="C928" t="s">
        <v>835</v>
      </c>
      <c r="D928" t="s">
        <v>24</v>
      </c>
      <c r="E928">
        <v>7</v>
      </c>
      <c r="F928">
        <v>50</v>
      </c>
      <c r="G928">
        <v>0.35</v>
      </c>
      <c r="H928">
        <v>5</v>
      </c>
      <c r="I928" t="s">
        <v>836</v>
      </c>
      <c r="J928" t="s">
        <v>19</v>
      </c>
      <c r="K928">
        <v>15</v>
      </c>
      <c r="L928">
        <f t="shared" si="56"/>
        <v>350</v>
      </c>
      <c r="M928">
        <f t="shared" si="57"/>
        <v>17.5</v>
      </c>
      <c r="N928">
        <f t="shared" si="58"/>
        <v>105</v>
      </c>
      <c r="O928" s="5">
        <f t="shared" si="59"/>
        <v>240</v>
      </c>
    </row>
    <row r="929" spans="1:15" x14ac:dyDescent="0.3">
      <c r="A929" t="s">
        <v>959</v>
      </c>
      <c r="B929" s="3">
        <v>46103</v>
      </c>
      <c r="C929" t="s">
        <v>835</v>
      </c>
      <c r="D929" t="s">
        <v>24</v>
      </c>
      <c r="E929">
        <v>24</v>
      </c>
      <c r="F929">
        <v>50</v>
      </c>
      <c r="G929">
        <v>0.1</v>
      </c>
      <c r="H929">
        <v>15</v>
      </c>
      <c r="I929" t="s">
        <v>836</v>
      </c>
      <c r="J929" t="s">
        <v>19</v>
      </c>
      <c r="K929">
        <v>15</v>
      </c>
      <c r="L929">
        <f t="shared" si="56"/>
        <v>1200</v>
      </c>
      <c r="M929">
        <f t="shared" si="57"/>
        <v>5</v>
      </c>
      <c r="N929">
        <f t="shared" si="58"/>
        <v>360</v>
      </c>
      <c r="O929" s="5">
        <f t="shared" si="59"/>
        <v>825</v>
      </c>
    </row>
    <row r="930" spans="1:15" x14ac:dyDescent="0.3">
      <c r="A930" t="s">
        <v>960</v>
      </c>
      <c r="B930" s="3">
        <v>46317</v>
      </c>
      <c r="C930" t="s">
        <v>835</v>
      </c>
      <c r="D930" t="s">
        <v>22</v>
      </c>
      <c r="E930">
        <v>4</v>
      </c>
      <c r="F930">
        <v>50</v>
      </c>
      <c r="G930">
        <v>0.2</v>
      </c>
      <c r="H930">
        <v>20</v>
      </c>
      <c r="I930" t="s">
        <v>836</v>
      </c>
      <c r="J930" t="s">
        <v>19</v>
      </c>
      <c r="K930">
        <v>15</v>
      </c>
      <c r="L930">
        <f t="shared" si="56"/>
        <v>200</v>
      </c>
      <c r="M930">
        <f t="shared" si="57"/>
        <v>10</v>
      </c>
      <c r="N930">
        <f t="shared" si="58"/>
        <v>60</v>
      </c>
      <c r="O930" s="5">
        <f t="shared" si="59"/>
        <v>120</v>
      </c>
    </row>
    <row r="931" spans="1:15" x14ac:dyDescent="0.3">
      <c r="A931" t="s">
        <v>961</v>
      </c>
      <c r="B931" s="3">
        <v>46196</v>
      </c>
      <c r="C931" t="s">
        <v>835</v>
      </c>
      <c r="D931" t="s">
        <v>24</v>
      </c>
      <c r="E931">
        <v>7</v>
      </c>
      <c r="F931">
        <v>50</v>
      </c>
      <c r="G931">
        <v>0.2</v>
      </c>
      <c r="H931">
        <v>5</v>
      </c>
      <c r="I931" t="s">
        <v>836</v>
      </c>
      <c r="J931" t="s">
        <v>19</v>
      </c>
      <c r="K931">
        <v>15</v>
      </c>
      <c r="L931">
        <f t="shared" si="56"/>
        <v>350</v>
      </c>
      <c r="M931">
        <f t="shared" si="57"/>
        <v>10</v>
      </c>
      <c r="N931">
        <f t="shared" si="58"/>
        <v>105</v>
      </c>
      <c r="O931" s="5">
        <f t="shared" si="59"/>
        <v>240</v>
      </c>
    </row>
    <row r="932" spans="1:15" x14ac:dyDescent="0.3">
      <c r="A932" t="s">
        <v>962</v>
      </c>
      <c r="B932" s="3">
        <v>46127</v>
      </c>
      <c r="C932" t="s">
        <v>835</v>
      </c>
      <c r="D932" t="s">
        <v>34</v>
      </c>
      <c r="E932">
        <v>18</v>
      </c>
      <c r="F932">
        <v>50</v>
      </c>
      <c r="G932">
        <v>0.35</v>
      </c>
      <c r="H932">
        <v>15</v>
      </c>
      <c r="I932" t="s">
        <v>836</v>
      </c>
      <c r="J932" t="s">
        <v>19</v>
      </c>
      <c r="K932">
        <v>15</v>
      </c>
      <c r="L932">
        <f t="shared" si="56"/>
        <v>900</v>
      </c>
      <c r="M932">
        <f t="shared" si="57"/>
        <v>17.5</v>
      </c>
      <c r="N932">
        <f t="shared" si="58"/>
        <v>270</v>
      </c>
      <c r="O932" s="5">
        <f t="shared" si="59"/>
        <v>615</v>
      </c>
    </row>
    <row r="933" spans="1:15" x14ac:dyDescent="0.3">
      <c r="A933" t="s">
        <v>963</v>
      </c>
      <c r="B933" s="3">
        <v>46283</v>
      </c>
      <c r="C933" t="s">
        <v>835</v>
      </c>
      <c r="D933" t="s">
        <v>24</v>
      </c>
      <c r="E933">
        <v>23</v>
      </c>
      <c r="F933">
        <v>50</v>
      </c>
      <c r="G933">
        <v>0.1</v>
      </c>
      <c r="H933">
        <v>10</v>
      </c>
      <c r="I933" t="s">
        <v>836</v>
      </c>
      <c r="J933" t="s">
        <v>19</v>
      </c>
      <c r="K933">
        <v>15</v>
      </c>
      <c r="L933">
        <f t="shared" si="56"/>
        <v>1150</v>
      </c>
      <c r="M933">
        <f t="shared" si="57"/>
        <v>5</v>
      </c>
      <c r="N933">
        <f t="shared" si="58"/>
        <v>345</v>
      </c>
      <c r="O933" s="5">
        <f t="shared" si="59"/>
        <v>795</v>
      </c>
    </row>
    <row r="934" spans="1:15" x14ac:dyDescent="0.3">
      <c r="A934" t="s">
        <v>964</v>
      </c>
      <c r="B934" s="3">
        <v>46191</v>
      </c>
      <c r="C934" t="s">
        <v>835</v>
      </c>
      <c r="D934" t="s">
        <v>34</v>
      </c>
      <c r="E934">
        <v>8</v>
      </c>
      <c r="F934">
        <v>50</v>
      </c>
      <c r="G934">
        <v>0.2</v>
      </c>
      <c r="H934">
        <v>15</v>
      </c>
      <c r="I934" t="s">
        <v>836</v>
      </c>
      <c r="J934" t="s">
        <v>19</v>
      </c>
      <c r="K934">
        <v>15</v>
      </c>
      <c r="L934">
        <f t="shared" si="56"/>
        <v>400</v>
      </c>
      <c r="M934">
        <f t="shared" si="57"/>
        <v>10</v>
      </c>
      <c r="N934">
        <f t="shared" si="58"/>
        <v>120</v>
      </c>
      <c r="O934" s="5">
        <f t="shared" si="59"/>
        <v>265</v>
      </c>
    </row>
    <row r="935" spans="1:15" x14ac:dyDescent="0.3">
      <c r="A935" t="s">
        <v>965</v>
      </c>
      <c r="B935" s="3">
        <v>46087</v>
      </c>
      <c r="C935" t="s">
        <v>835</v>
      </c>
      <c r="D935" t="s">
        <v>34</v>
      </c>
      <c r="E935">
        <v>16</v>
      </c>
      <c r="F935">
        <v>50</v>
      </c>
      <c r="G935">
        <v>0.2</v>
      </c>
      <c r="H935">
        <v>20</v>
      </c>
      <c r="I935" t="s">
        <v>836</v>
      </c>
      <c r="J935" t="s">
        <v>19</v>
      </c>
      <c r="K935">
        <v>15</v>
      </c>
      <c r="L935">
        <f t="shared" si="56"/>
        <v>800</v>
      </c>
      <c r="M935">
        <f t="shared" si="57"/>
        <v>10</v>
      </c>
      <c r="N935">
        <f t="shared" si="58"/>
        <v>240</v>
      </c>
      <c r="O935" s="5">
        <f t="shared" si="59"/>
        <v>540</v>
      </c>
    </row>
    <row r="936" spans="1:15" x14ac:dyDescent="0.3">
      <c r="A936" t="s">
        <v>966</v>
      </c>
      <c r="B936" s="3">
        <v>46026</v>
      </c>
      <c r="C936" t="s">
        <v>835</v>
      </c>
      <c r="D936" t="s">
        <v>17</v>
      </c>
      <c r="E936">
        <v>8</v>
      </c>
      <c r="F936">
        <v>50</v>
      </c>
      <c r="G936">
        <v>0</v>
      </c>
      <c r="H936">
        <v>10</v>
      </c>
      <c r="I936" t="s">
        <v>836</v>
      </c>
      <c r="J936" t="s">
        <v>19</v>
      </c>
      <c r="K936">
        <v>15</v>
      </c>
      <c r="L936">
        <f t="shared" si="56"/>
        <v>400</v>
      </c>
      <c r="M936">
        <f t="shared" si="57"/>
        <v>0</v>
      </c>
      <c r="N936">
        <f t="shared" si="58"/>
        <v>120</v>
      </c>
      <c r="O936" s="5">
        <f t="shared" si="59"/>
        <v>270</v>
      </c>
    </row>
    <row r="937" spans="1:15" x14ac:dyDescent="0.3">
      <c r="A937" t="s">
        <v>967</v>
      </c>
      <c r="B937" s="3">
        <v>46101</v>
      </c>
      <c r="C937" t="s">
        <v>835</v>
      </c>
      <c r="D937" t="s">
        <v>17</v>
      </c>
      <c r="E937">
        <v>25</v>
      </c>
      <c r="F937">
        <v>50</v>
      </c>
      <c r="G937">
        <v>0.1</v>
      </c>
      <c r="H937">
        <v>20</v>
      </c>
      <c r="I937" t="s">
        <v>836</v>
      </c>
      <c r="J937" t="s">
        <v>19</v>
      </c>
      <c r="K937">
        <v>15</v>
      </c>
      <c r="L937">
        <f t="shared" si="56"/>
        <v>1250</v>
      </c>
      <c r="M937">
        <f t="shared" si="57"/>
        <v>5</v>
      </c>
      <c r="N937">
        <f t="shared" si="58"/>
        <v>375</v>
      </c>
      <c r="O937" s="5">
        <f t="shared" si="59"/>
        <v>855</v>
      </c>
    </row>
    <row r="938" spans="1:15" x14ac:dyDescent="0.3">
      <c r="A938" t="s">
        <v>968</v>
      </c>
      <c r="B938" s="3">
        <v>46337</v>
      </c>
      <c r="C938" t="s">
        <v>835</v>
      </c>
      <c r="D938" t="s">
        <v>22</v>
      </c>
      <c r="E938">
        <v>4</v>
      </c>
      <c r="F938">
        <v>50</v>
      </c>
      <c r="G938">
        <v>0.2</v>
      </c>
      <c r="H938">
        <v>15</v>
      </c>
      <c r="I938" t="s">
        <v>836</v>
      </c>
      <c r="J938" t="s">
        <v>19</v>
      </c>
      <c r="K938">
        <v>15</v>
      </c>
      <c r="L938">
        <f t="shared" si="56"/>
        <v>200</v>
      </c>
      <c r="M938">
        <f t="shared" si="57"/>
        <v>10</v>
      </c>
      <c r="N938">
        <f t="shared" si="58"/>
        <v>60</v>
      </c>
      <c r="O938" s="5">
        <f t="shared" si="59"/>
        <v>125</v>
      </c>
    </row>
    <row r="939" spans="1:15" x14ac:dyDescent="0.3">
      <c r="A939" t="s">
        <v>969</v>
      </c>
      <c r="B939" s="3">
        <v>46155</v>
      </c>
      <c r="C939" t="s">
        <v>835</v>
      </c>
      <c r="D939" t="s">
        <v>22</v>
      </c>
      <c r="E939">
        <v>7</v>
      </c>
      <c r="F939">
        <v>50</v>
      </c>
      <c r="G939">
        <v>0.1</v>
      </c>
      <c r="H939">
        <v>5</v>
      </c>
      <c r="I939" t="s">
        <v>836</v>
      </c>
      <c r="J939" t="s">
        <v>19</v>
      </c>
      <c r="K939">
        <v>15</v>
      </c>
      <c r="L939">
        <f t="shared" si="56"/>
        <v>350</v>
      </c>
      <c r="M939">
        <f t="shared" si="57"/>
        <v>5</v>
      </c>
      <c r="N939">
        <f t="shared" si="58"/>
        <v>105</v>
      </c>
      <c r="O939" s="5">
        <f t="shared" si="59"/>
        <v>240</v>
      </c>
    </row>
    <row r="940" spans="1:15" x14ac:dyDescent="0.3">
      <c r="A940" t="s">
        <v>970</v>
      </c>
      <c r="B940" s="3">
        <v>46173</v>
      </c>
      <c r="C940" t="s">
        <v>835</v>
      </c>
      <c r="D940" t="s">
        <v>34</v>
      </c>
      <c r="E940">
        <v>5</v>
      </c>
      <c r="F940">
        <v>50</v>
      </c>
      <c r="G940">
        <v>0.35</v>
      </c>
      <c r="H940">
        <v>15</v>
      </c>
      <c r="I940" t="s">
        <v>836</v>
      </c>
      <c r="J940" t="s">
        <v>19</v>
      </c>
      <c r="K940">
        <v>15</v>
      </c>
      <c r="L940">
        <f t="shared" si="56"/>
        <v>250</v>
      </c>
      <c r="M940">
        <f t="shared" si="57"/>
        <v>17.5</v>
      </c>
      <c r="N940">
        <f t="shared" si="58"/>
        <v>75</v>
      </c>
      <c r="O940" s="5">
        <f t="shared" si="59"/>
        <v>160</v>
      </c>
    </row>
    <row r="941" spans="1:15" x14ac:dyDescent="0.3">
      <c r="A941" t="s">
        <v>971</v>
      </c>
      <c r="B941" s="3">
        <v>46174</v>
      </c>
      <c r="C941" t="s">
        <v>835</v>
      </c>
      <c r="D941" t="s">
        <v>17</v>
      </c>
      <c r="E941">
        <v>21</v>
      </c>
      <c r="F941">
        <v>50</v>
      </c>
      <c r="G941">
        <v>0.1</v>
      </c>
      <c r="H941">
        <v>10</v>
      </c>
      <c r="I941" t="s">
        <v>836</v>
      </c>
      <c r="J941" t="s">
        <v>19</v>
      </c>
      <c r="K941">
        <v>15</v>
      </c>
      <c r="L941">
        <f t="shared" si="56"/>
        <v>1050</v>
      </c>
      <c r="M941">
        <f t="shared" si="57"/>
        <v>5</v>
      </c>
      <c r="N941">
        <f t="shared" si="58"/>
        <v>315</v>
      </c>
      <c r="O941" s="5">
        <f t="shared" si="59"/>
        <v>725</v>
      </c>
    </row>
    <row r="942" spans="1:15" x14ac:dyDescent="0.3">
      <c r="A942" t="s">
        <v>972</v>
      </c>
      <c r="B942" s="3">
        <v>46096</v>
      </c>
      <c r="C942" t="s">
        <v>835</v>
      </c>
      <c r="D942" t="s">
        <v>24</v>
      </c>
      <c r="E942">
        <v>13</v>
      </c>
      <c r="F942">
        <v>50</v>
      </c>
      <c r="G942">
        <v>0.1</v>
      </c>
      <c r="H942">
        <v>5</v>
      </c>
      <c r="I942" t="s">
        <v>836</v>
      </c>
      <c r="J942" t="s">
        <v>19</v>
      </c>
      <c r="K942">
        <v>15</v>
      </c>
      <c r="L942">
        <f t="shared" si="56"/>
        <v>650</v>
      </c>
      <c r="M942">
        <f t="shared" si="57"/>
        <v>5</v>
      </c>
      <c r="N942">
        <f t="shared" si="58"/>
        <v>195</v>
      </c>
      <c r="O942" s="5">
        <f t="shared" si="59"/>
        <v>450</v>
      </c>
    </row>
    <row r="943" spans="1:15" x14ac:dyDescent="0.3">
      <c r="A943" t="s">
        <v>973</v>
      </c>
      <c r="B943" s="3">
        <v>46190</v>
      </c>
      <c r="C943" t="s">
        <v>835</v>
      </c>
      <c r="D943" t="s">
        <v>34</v>
      </c>
      <c r="E943">
        <v>1</v>
      </c>
      <c r="F943">
        <v>50</v>
      </c>
      <c r="G943">
        <v>0.2</v>
      </c>
      <c r="H943">
        <v>5</v>
      </c>
      <c r="I943" t="s">
        <v>836</v>
      </c>
      <c r="J943" t="s">
        <v>19</v>
      </c>
      <c r="K943">
        <v>15</v>
      </c>
      <c r="L943">
        <f t="shared" si="56"/>
        <v>50</v>
      </c>
      <c r="M943">
        <f t="shared" si="57"/>
        <v>10</v>
      </c>
      <c r="N943">
        <f t="shared" si="58"/>
        <v>15</v>
      </c>
      <c r="O943" s="5">
        <f t="shared" si="59"/>
        <v>30</v>
      </c>
    </row>
    <row r="944" spans="1:15" x14ac:dyDescent="0.3">
      <c r="A944" t="s">
        <v>974</v>
      </c>
      <c r="B944" s="3">
        <v>46063</v>
      </c>
      <c r="C944" t="s">
        <v>835</v>
      </c>
      <c r="D944" t="s">
        <v>24</v>
      </c>
      <c r="E944">
        <v>18</v>
      </c>
      <c r="F944">
        <v>50</v>
      </c>
      <c r="G944">
        <v>0.1</v>
      </c>
      <c r="H944">
        <v>10</v>
      </c>
      <c r="I944" t="s">
        <v>836</v>
      </c>
      <c r="J944" t="s">
        <v>19</v>
      </c>
      <c r="K944">
        <v>15</v>
      </c>
      <c r="L944">
        <f t="shared" si="56"/>
        <v>900</v>
      </c>
      <c r="M944">
        <f t="shared" si="57"/>
        <v>5</v>
      </c>
      <c r="N944">
        <f t="shared" si="58"/>
        <v>270</v>
      </c>
      <c r="O944" s="5">
        <f t="shared" si="59"/>
        <v>620</v>
      </c>
    </row>
    <row r="945" spans="1:15" x14ac:dyDescent="0.3">
      <c r="A945" t="s">
        <v>975</v>
      </c>
      <c r="B945" s="3">
        <v>46317</v>
      </c>
      <c r="C945" t="s">
        <v>835</v>
      </c>
      <c r="D945" t="s">
        <v>34</v>
      </c>
      <c r="E945">
        <v>23</v>
      </c>
      <c r="F945">
        <v>50</v>
      </c>
      <c r="G945">
        <v>0.2</v>
      </c>
      <c r="H945">
        <v>15</v>
      </c>
      <c r="I945" t="s">
        <v>836</v>
      </c>
      <c r="J945" t="s">
        <v>19</v>
      </c>
      <c r="K945">
        <v>15</v>
      </c>
      <c r="L945">
        <f t="shared" si="56"/>
        <v>1150</v>
      </c>
      <c r="M945">
        <f t="shared" si="57"/>
        <v>10</v>
      </c>
      <c r="N945">
        <f t="shared" si="58"/>
        <v>345</v>
      </c>
      <c r="O945" s="5">
        <f t="shared" si="59"/>
        <v>790</v>
      </c>
    </row>
    <row r="946" spans="1:15" x14ac:dyDescent="0.3">
      <c r="A946" t="s">
        <v>976</v>
      </c>
      <c r="B946" s="3">
        <v>46310</v>
      </c>
      <c r="C946" t="s">
        <v>835</v>
      </c>
      <c r="D946" t="s">
        <v>24</v>
      </c>
      <c r="E946">
        <v>1</v>
      </c>
      <c r="F946">
        <v>50</v>
      </c>
      <c r="G946">
        <v>0.35</v>
      </c>
      <c r="H946">
        <v>20</v>
      </c>
      <c r="I946" t="s">
        <v>836</v>
      </c>
      <c r="J946" t="s">
        <v>19</v>
      </c>
      <c r="K946">
        <v>15</v>
      </c>
      <c r="L946">
        <f t="shared" si="56"/>
        <v>50</v>
      </c>
      <c r="M946">
        <f t="shared" si="57"/>
        <v>17.5</v>
      </c>
      <c r="N946">
        <f t="shared" si="58"/>
        <v>15</v>
      </c>
      <c r="O946" s="5">
        <f t="shared" si="59"/>
        <v>15</v>
      </c>
    </row>
    <row r="947" spans="1:15" x14ac:dyDescent="0.3">
      <c r="A947" t="s">
        <v>977</v>
      </c>
      <c r="B947" s="3">
        <v>46245</v>
      </c>
      <c r="C947" t="s">
        <v>835</v>
      </c>
      <c r="D947" t="s">
        <v>24</v>
      </c>
      <c r="E947">
        <v>3</v>
      </c>
      <c r="F947">
        <v>50</v>
      </c>
      <c r="G947">
        <v>0</v>
      </c>
      <c r="H947">
        <v>5</v>
      </c>
      <c r="I947" t="s">
        <v>836</v>
      </c>
      <c r="J947" t="s">
        <v>19</v>
      </c>
      <c r="K947">
        <v>15</v>
      </c>
      <c r="L947">
        <f t="shared" si="56"/>
        <v>150</v>
      </c>
      <c r="M947">
        <f t="shared" si="57"/>
        <v>0</v>
      </c>
      <c r="N947">
        <f t="shared" si="58"/>
        <v>45</v>
      </c>
      <c r="O947" s="5">
        <f t="shared" si="59"/>
        <v>100</v>
      </c>
    </row>
    <row r="948" spans="1:15" x14ac:dyDescent="0.3">
      <c r="A948" t="s">
        <v>978</v>
      </c>
      <c r="B948" s="3">
        <v>46349</v>
      </c>
      <c r="C948" t="s">
        <v>835</v>
      </c>
      <c r="D948" t="s">
        <v>24</v>
      </c>
      <c r="E948">
        <v>25</v>
      </c>
      <c r="F948">
        <v>50</v>
      </c>
      <c r="G948">
        <v>0.2</v>
      </c>
      <c r="H948">
        <v>20</v>
      </c>
      <c r="I948" t="s">
        <v>836</v>
      </c>
      <c r="J948" t="s">
        <v>19</v>
      </c>
      <c r="K948">
        <v>15</v>
      </c>
      <c r="L948">
        <f t="shared" si="56"/>
        <v>1250</v>
      </c>
      <c r="M948">
        <f t="shared" si="57"/>
        <v>10</v>
      </c>
      <c r="N948">
        <f t="shared" si="58"/>
        <v>375</v>
      </c>
      <c r="O948" s="5">
        <f t="shared" si="59"/>
        <v>855</v>
      </c>
    </row>
    <row r="949" spans="1:15" x14ac:dyDescent="0.3">
      <c r="A949" t="s">
        <v>979</v>
      </c>
      <c r="B949" s="3">
        <v>46266</v>
      </c>
      <c r="C949" t="s">
        <v>835</v>
      </c>
      <c r="D949" t="s">
        <v>22</v>
      </c>
      <c r="E949">
        <v>13</v>
      </c>
      <c r="F949">
        <v>50</v>
      </c>
      <c r="G949">
        <v>0.35</v>
      </c>
      <c r="H949">
        <v>5</v>
      </c>
      <c r="I949" t="s">
        <v>836</v>
      </c>
      <c r="J949" t="s">
        <v>19</v>
      </c>
      <c r="K949">
        <v>15</v>
      </c>
      <c r="L949">
        <f t="shared" si="56"/>
        <v>650</v>
      </c>
      <c r="M949">
        <f t="shared" si="57"/>
        <v>17.5</v>
      </c>
      <c r="N949">
        <f t="shared" si="58"/>
        <v>195</v>
      </c>
      <c r="O949" s="5">
        <f t="shared" si="59"/>
        <v>450</v>
      </c>
    </row>
    <row r="950" spans="1:15" x14ac:dyDescent="0.3">
      <c r="A950" t="s">
        <v>980</v>
      </c>
      <c r="B950" s="3">
        <v>46318</v>
      </c>
      <c r="C950" t="s">
        <v>835</v>
      </c>
      <c r="D950" t="s">
        <v>22</v>
      </c>
      <c r="E950">
        <v>9</v>
      </c>
      <c r="F950">
        <v>50</v>
      </c>
      <c r="G950">
        <v>0.2</v>
      </c>
      <c r="H950">
        <v>15</v>
      </c>
      <c r="I950" t="s">
        <v>836</v>
      </c>
      <c r="J950" t="s">
        <v>19</v>
      </c>
      <c r="K950">
        <v>15</v>
      </c>
      <c r="L950">
        <f t="shared" si="56"/>
        <v>450</v>
      </c>
      <c r="M950">
        <f t="shared" si="57"/>
        <v>10</v>
      </c>
      <c r="N950">
        <f t="shared" si="58"/>
        <v>135</v>
      </c>
      <c r="O950" s="5">
        <f t="shared" si="59"/>
        <v>300</v>
      </c>
    </row>
    <row r="951" spans="1:15" x14ac:dyDescent="0.3">
      <c r="A951" t="s">
        <v>981</v>
      </c>
      <c r="B951" s="3">
        <v>46242</v>
      </c>
      <c r="C951" t="s">
        <v>835</v>
      </c>
      <c r="D951" t="s">
        <v>17</v>
      </c>
      <c r="E951">
        <v>20</v>
      </c>
      <c r="F951">
        <v>50</v>
      </c>
      <c r="G951">
        <v>0.2</v>
      </c>
      <c r="H951">
        <v>5</v>
      </c>
      <c r="I951" t="s">
        <v>836</v>
      </c>
      <c r="J951" t="s">
        <v>19</v>
      </c>
      <c r="K951">
        <v>15</v>
      </c>
      <c r="L951">
        <f t="shared" si="56"/>
        <v>1000</v>
      </c>
      <c r="M951">
        <f t="shared" si="57"/>
        <v>10</v>
      </c>
      <c r="N951">
        <f t="shared" si="58"/>
        <v>300</v>
      </c>
      <c r="O951" s="5">
        <f t="shared" si="59"/>
        <v>695</v>
      </c>
    </row>
    <row r="952" spans="1:15" x14ac:dyDescent="0.3">
      <c r="A952" t="s">
        <v>982</v>
      </c>
      <c r="B952" s="3">
        <v>46303</v>
      </c>
      <c r="C952" t="s">
        <v>835</v>
      </c>
      <c r="D952" t="s">
        <v>17</v>
      </c>
      <c r="E952">
        <v>20</v>
      </c>
      <c r="F952">
        <v>50</v>
      </c>
      <c r="G952">
        <v>0.2</v>
      </c>
      <c r="H952">
        <v>20</v>
      </c>
      <c r="I952" t="s">
        <v>836</v>
      </c>
      <c r="J952" t="s">
        <v>19</v>
      </c>
      <c r="K952">
        <v>15</v>
      </c>
      <c r="L952">
        <f t="shared" si="56"/>
        <v>1000</v>
      </c>
      <c r="M952">
        <f t="shared" si="57"/>
        <v>10</v>
      </c>
      <c r="N952">
        <f t="shared" si="58"/>
        <v>300</v>
      </c>
      <c r="O952" s="5">
        <f t="shared" si="59"/>
        <v>680</v>
      </c>
    </row>
    <row r="953" spans="1:15" x14ac:dyDescent="0.3">
      <c r="A953" t="s">
        <v>983</v>
      </c>
      <c r="B953" s="3">
        <v>46072</v>
      </c>
      <c r="C953" t="s">
        <v>835</v>
      </c>
      <c r="D953" t="s">
        <v>17</v>
      </c>
      <c r="E953">
        <v>3</v>
      </c>
      <c r="F953">
        <v>50</v>
      </c>
      <c r="G953">
        <v>0.35</v>
      </c>
      <c r="H953">
        <v>10</v>
      </c>
      <c r="I953" t="s">
        <v>836</v>
      </c>
      <c r="J953" t="s">
        <v>19</v>
      </c>
      <c r="K953">
        <v>15</v>
      </c>
      <c r="L953">
        <f t="shared" si="56"/>
        <v>150</v>
      </c>
      <c r="M953">
        <f t="shared" si="57"/>
        <v>17.5</v>
      </c>
      <c r="N953">
        <f t="shared" si="58"/>
        <v>45</v>
      </c>
      <c r="O953" s="5">
        <f t="shared" si="59"/>
        <v>95</v>
      </c>
    </row>
    <row r="954" spans="1:15" x14ac:dyDescent="0.3">
      <c r="A954" t="s">
        <v>984</v>
      </c>
      <c r="B954" s="3">
        <v>46088</v>
      </c>
      <c r="C954" t="s">
        <v>835</v>
      </c>
      <c r="D954" t="s">
        <v>24</v>
      </c>
      <c r="E954">
        <v>14</v>
      </c>
      <c r="F954">
        <v>50</v>
      </c>
      <c r="G954">
        <v>0</v>
      </c>
      <c r="H954">
        <v>10</v>
      </c>
      <c r="I954" t="s">
        <v>836</v>
      </c>
      <c r="J954" t="s">
        <v>19</v>
      </c>
      <c r="K954">
        <v>15</v>
      </c>
      <c r="L954">
        <f t="shared" si="56"/>
        <v>700</v>
      </c>
      <c r="M954">
        <f t="shared" si="57"/>
        <v>0</v>
      </c>
      <c r="N954">
        <f t="shared" si="58"/>
        <v>210</v>
      </c>
      <c r="O954" s="5">
        <f t="shared" si="59"/>
        <v>480</v>
      </c>
    </row>
    <row r="955" spans="1:15" x14ac:dyDescent="0.3">
      <c r="A955" t="s">
        <v>985</v>
      </c>
      <c r="B955" s="3">
        <v>46309</v>
      </c>
      <c r="C955" t="s">
        <v>835</v>
      </c>
      <c r="D955" t="s">
        <v>17</v>
      </c>
      <c r="E955">
        <v>19</v>
      </c>
      <c r="F955">
        <v>50</v>
      </c>
      <c r="G955">
        <v>0.35</v>
      </c>
      <c r="H955">
        <v>20</v>
      </c>
      <c r="I955" t="s">
        <v>836</v>
      </c>
      <c r="J955" t="s">
        <v>19</v>
      </c>
      <c r="K955">
        <v>15</v>
      </c>
      <c r="L955">
        <f t="shared" si="56"/>
        <v>950</v>
      </c>
      <c r="M955">
        <f t="shared" si="57"/>
        <v>17.5</v>
      </c>
      <c r="N955">
        <f t="shared" si="58"/>
        <v>285</v>
      </c>
      <c r="O955" s="5">
        <f t="shared" si="59"/>
        <v>645</v>
      </c>
    </row>
    <row r="956" spans="1:15" x14ac:dyDescent="0.3">
      <c r="A956" t="s">
        <v>986</v>
      </c>
      <c r="B956" s="3">
        <v>46129</v>
      </c>
      <c r="C956" t="s">
        <v>835</v>
      </c>
      <c r="D956" t="s">
        <v>34</v>
      </c>
      <c r="E956">
        <v>5</v>
      </c>
      <c r="F956">
        <v>50</v>
      </c>
      <c r="G956">
        <v>0.1</v>
      </c>
      <c r="H956">
        <v>5</v>
      </c>
      <c r="I956" t="s">
        <v>836</v>
      </c>
      <c r="J956" t="s">
        <v>19</v>
      </c>
      <c r="K956">
        <v>15</v>
      </c>
      <c r="L956">
        <f t="shared" si="56"/>
        <v>250</v>
      </c>
      <c r="M956">
        <f t="shared" si="57"/>
        <v>5</v>
      </c>
      <c r="N956">
        <f t="shared" si="58"/>
        <v>75</v>
      </c>
      <c r="O956" s="5">
        <f t="shared" si="59"/>
        <v>170</v>
      </c>
    </row>
    <row r="957" spans="1:15" x14ac:dyDescent="0.3">
      <c r="A957" t="s">
        <v>987</v>
      </c>
      <c r="B957" s="3">
        <v>46024</v>
      </c>
      <c r="C957" t="s">
        <v>835</v>
      </c>
      <c r="D957" t="s">
        <v>17</v>
      </c>
      <c r="E957">
        <v>19</v>
      </c>
      <c r="F957">
        <v>50</v>
      </c>
      <c r="G957">
        <v>0.35</v>
      </c>
      <c r="H957">
        <v>5</v>
      </c>
      <c r="I957" t="s">
        <v>836</v>
      </c>
      <c r="J957" t="s">
        <v>19</v>
      </c>
      <c r="K957">
        <v>15</v>
      </c>
      <c r="L957">
        <f t="shared" si="56"/>
        <v>950</v>
      </c>
      <c r="M957">
        <f t="shared" si="57"/>
        <v>17.5</v>
      </c>
      <c r="N957">
        <f t="shared" si="58"/>
        <v>285</v>
      </c>
      <c r="O957" s="5">
        <f t="shared" si="59"/>
        <v>660</v>
      </c>
    </row>
    <row r="958" spans="1:15" x14ac:dyDescent="0.3">
      <c r="A958" t="s">
        <v>988</v>
      </c>
      <c r="B958" s="3">
        <v>46350</v>
      </c>
      <c r="C958" t="s">
        <v>835</v>
      </c>
      <c r="D958" t="s">
        <v>22</v>
      </c>
      <c r="E958">
        <v>5</v>
      </c>
      <c r="F958">
        <v>50</v>
      </c>
      <c r="G958">
        <v>0.35</v>
      </c>
      <c r="H958">
        <v>5</v>
      </c>
      <c r="I958" t="s">
        <v>836</v>
      </c>
      <c r="J958" t="s">
        <v>19</v>
      </c>
      <c r="K958">
        <v>15</v>
      </c>
      <c r="L958">
        <f t="shared" si="56"/>
        <v>250</v>
      </c>
      <c r="M958">
        <f t="shared" si="57"/>
        <v>17.5</v>
      </c>
      <c r="N958">
        <f t="shared" si="58"/>
        <v>75</v>
      </c>
      <c r="O958" s="5">
        <f t="shared" si="59"/>
        <v>170</v>
      </c>
    </row>
    <row r="959" spans="1:15" x14ac:dyDescent="0.3">
      <c r="A959" t="s">
        <v>989</v>
      </c>
      <c r="B959" s="3">
        <v>46163</v>
      </c>
      <c r="C959" t="s">
        <v>835</v>
      </c>
      <c r="D959" t="s">
        <v>22</v>
      </c>
      <c r="E959">
        <v>9</v>
      </c>
      <c r="F959">
        <v>50</v>
      </c>
      <c r="G959">
        <v>0.35</v>
      </c>
      <c r="H959">
        <v>10</v>
      </c>
      <c r="I959" t="s">
        <v>836</v>
      </c>
      <c r="J959" t="s">
        <v>19</v>
      </c>
      <c r="K959">
        <v>15</v>
      </c>
      <c r="L959">
        <f t="shared" si="56"/>
        <v>450</v>
      </c>
      <c r="M959">
        <f t="shared" si="57"/>
        <v>17.5</v>
      </c>
      <c r="N959">
        <f t="shared" si="58"/>
        <v>135</v>
      </c>
      <c r="O959" s="5">
        <f t="shared" si="59"/>
        <v>305</v>
      </c>
    </row>
    <row r="960" spans="1:15" x14ac:dyDescent="0.3">
      <c r="A960" t="s">
        <v>990</v>
      </c>
      <c r="B960" s="3">
        <v>46345</v>
      </c>
      <c r="C960" t="s">
        <v>835</v>
      </c>
      <c r="D960" t="s">
        <v>17</v>
      </c>
      <c r="E960">
        <v>18</v>
      </c>
      <c r="F960">
        <v>50</v>
      </c>
      <c r="G960">
        <v>0.1</v>
      </c>
      <c r="H960">
        <v>20</v>
      </c>
      <c r="I960" t="s">
        <v>836</v>
      </c>
      <c r="J960" t="s">
        <v>19</v>
      </c>
      <c r="K960">
        <v>15</v>
      </c>
      <c r="L960">
        <f t="shared" si="56"/>
        <v>900</v>
      </c>
      <c r="M960">
        <f t="shared" si="57"/>
        <v>5</v>
      </c>
      <c r="N960">
        <f t="shared" si="58"/>
        <v>270</v>
      </c>
      <c r="O960" s="5">
        <f t="shared" si="59"/>
        <v>610</v>
      </c>
    </row>
    <row r="961" spans="1:15" x14ac:dyDescent="0.3">
      <c r="A961" t="s">
        <v>991</v>
      </c>
      <c r="B961" s="3">
        <v>46107</v>
      </c>
      <c r="C961" t="s">
        <v>835</v>
      </c>
      <c r="D961" t="s">
        <v>17</v>
      </c>
      <c r="E961">
        <v>13</v>
      </c>
      <c r="F961">
        <v>50</v>
      </c>
      <c r="G961">
        <v>0.1</v>
      </c>
      <c r="H961">
        <v>20</v>
      </c>
      <c r="I961" t="s">
        <v>836</v>
      </c>
      <c r="J961" t="s">
        <v>19</v>
      </c>
      <c r="K961">
        <v>15</v>
      </c>
      <c r="L961">
        <f t="shared" si="56"/>
        <v>650</v>
      </c>
      <c r="M961">
        <f t="shared" si="57"/>
        <v>5</v>
      </c>
      <c r="N961">
        <f t="shared" si="58"/>
        <v>195</v>
      </c>
      <c r="O961" s="5">
        <f t="shared" si="59"/>
        <v>435</v>
      </c>
    </row>
    <row r="962" spans="1:15" x14ac:dyDescent="0.3">
      <c r="A962" t="s">
        <v>992</v>
      </c>
      <c r="B962" s="3">
        <v>46137</v>
      </c>
      <c r="C962" t="s">
        <v>835</v>
      </c>
      <c r="D962" t="s">
        <v>34</v>
      </c>
      <c r="E962">
        <v>7</v>
      </c>
      <c r="F962">
        <v>50</v>
      </c>
      <c r="G962">
        <v>0.2</v>
      </c>
      <c r="H962">
        <v>20</v>
      </c>
      <c r="I962" t="s">
        <v>836</v>
      </c>
      <c r="J962" t="s">
        <v>19</v>
      </c>
      <c r="K962">
        <v>15</v>
      </c>
      <c r="L962">
        <f t="shared" ref="L962:L1001" si="60">E962*F962</f>
        <v>350</v>
      </c>
      <c r="M962">
        <f t="shared" ref="M962:M1001" si="61">F962*G962</f>
        <v>10</v>
      </c>
      <c r="N962">
        <f t="shared" ref="N962:N1001" si="62">E962*K962</f>
        <v>105</v>
      </c>
      <c r="O962" s="5">
        <f t="shared" ref="O962:O1025" si="63">L962-H962-N962</f>
        <v>225</v>
      </c>
    </row>
    <row r="963" spans="1:15" x14ac:dyDescent="0.3">
      <c r="A963" t="s">
        <v>993</v>
      </c>
      <c r="B963" s="3">
        <v>46173</v>
      </c>
      <c r="C963" t="s">
        <v>835</v>
      </c>
      <c r="D963" t="s">
        <v>34</v>
      </c>
      <c r="E963">
        <v>18</v>
      </c>
      <c r="F963">
        <v>50</v>
      </c>
      <c r="G963">
        <v>0</v>
      </c>
      <c r="H963">
        <v>20</v>
      </c>
      <c r="I963" t="s">
        <v>836</v>
      </c>
      <c r="J963" t="s">
        <v>19</v>
      </c>
      <c r="K963">
        <v>15</v>
      </c>
      <c r="L963">
        <f t="shared" si="60"/>
        <v>900</v>
      </c>
      <c r="M963">
        <f t="shared" si="61"/>
        <v>0</v>
      </c>
      <c r="N963">
        <f t="shared" si="62"/>
        <v>270</v>
      </c>
      <c r="O963" s="5">
        <f t="shared" si="63"/>
        <v>610</v>
      </c>
    </row>
    <row r="964" spans="1:15" x14ac:dyDescent="0.3">
      <c r="A964" t="s">
        <v>994</v>
      </c>
      <c r="B964" s="3">
        <v>46169</v>
      </c>
      <c r="C964" t="s">
        <v>835</v>
      </c>
      <c r="D964" t="s">
        <v>17</v>
      </c>
      <c r="E964">
        <v>12</v>
      </c>
      <c r="F964">
        <v>50</v>
      </c>
      <c r="G964">
        <v>0.35</v>
      </c>
      <c r="H964">
        <v>20</v>
      </c>
      <c r="I964" t="s">
        <v>836</v>
      </c>
      <c r="J964" t="s">
        <v>19</v>
      </c>
      <c r="K964">
        <v>15</v>
      </c>
      <c r="L964">
        <f t="shared" si="60"/>
        <v>600</v>
      </c>
      <c r="M964">
        <f t="shared" si="61"/>
        <v>17.5</v>
      </c>
      <c r="N964">
        <f t="shared" si="62"/>
        <v>180</v>
      </c>
      <c r="O964" s="5">
        <f t="shared" si="63"/>
        <v>400</v>
      </c>
    </row>
    <row r="965" spans="1:15" x14ac:dyDescent="0.3">
      <c r="A965" t="s">
        <v>995</v>
      </c>
      <c r="B965" s="3">
        <v>46190</v>
      </c>
      <c r="C965" t="s">
        <v>835</v>
      </c>
      <c r="D965" t="s">
        <v>22</v>
      </c>
      <c r="E965">
        <v>8</v>
      </c>
      <c r="F965">
        <v>50</v>
      </c>
      <c r="G965">
        <v>0</v>
      </c>
      <c r="H965">
        <v>20</v>
      </c>
      <c r="I965" t="s">
        <v>836</v>
      </c>
      <c r="J965" t="s">
        <v>19</v>
      </c>
      <c r="K965">
        <v>15</v>
      </c>
      <c r="L965">
        <f t="shared" si="60"/>
        <v>400</v>
      </c>
      <c r="M965">
        <f t="shared" si="61"/>
        <v>0</v>
      </c>
      <c r="N965">
        <f t="shared" si="62"/>
        <v>120</v>
      </c>
      <c r="O965" s="5">
        <f t="shared" si="63"/>
        <v>260</v>
      </c>
    </row>
    <row r="966" spans="1:15" x14ac:dyDescent="0.3">
      <c r="A966" t="s">
        <v>996</v>
      </c>
      <c r="B966" s="3">
        <v>46122</v>
      </c>
      <c r="C966" t="s">
        <v>835</v>
      </c>
      <c r="D966" t="s">
        <v>34</v>
      </c>
      <c r="E966">
        <v>2</v>
      </c>
      <c r="F966">
        <v>50</v>
      </c>
      <c r="G966">
        <v>0.2</v>
      </c>
      <c r="H966">
        <v>10</v>
      </c>
      <c r="I966" t="s">
        <v>836</v>
      </c>
      <c r="J966" t="s">
        <v>19</v>
      </c>
      <c r="K966">
        <v>15</v>
      </c>
      <c r="L966">
        <f t="shared" si="60"/>
        <v>100</v>
      </c>
      <c r="M966">
        <f t="shared" si="61"/>
        <v>10</v>
      </c>
      <c r="N966">
        <f t="shared" si="62"/>
        <v>30</v>
      </c>
      <c r="O966" s="5">
        <f t="shared" si="63"/>
        <v>60</v>
      </c>
    </row>
    <row r="967" spans="1:15" x14ac:dyDescent="0.3">
      <c r="A967" t="s">
        <v>997</v>
      </c>
      <c r="B967" s="3">
        <v>46219</v>
      </c>
      <c r="C967" t="s">
        <v>835</v>
      </c>
      <c r="D967" t="s">
        <v>24</v>
      </c>
      <c r="E967">
        <v>2</v>
      </c>
      <c r="F967">
        <v>50</v>
      </c>
      <c r="G967">
        <v>0.1</v>
      </c>
      <c r="H967">
        <v>5</v>
      </c>
      <c r="I967" t="s">
        <v>836</v>
      </c>
      <c r="J967" t="s">
        <v>19</v>
      </c>
      <c r="K967">
        <v>15</v>
      </c>
      <c r="L967">
        <f t="shared" si="60"/>
        <v>100</v>
      </c>
      <c r="M967">
        <f t="shared" si="61"/>
        <v>5</v>
      </c>
      <c r="N967">
        <f t="shared" si="62"/>
        <v>30</v>
      </c>
      <c r="O967" s="5">
        <f t="shared" si="63"/>
        <v>65</v>
      </c>
    </row>
    <row r="968" spans="1:15" x14ac:dyDescent="0.3">
      <c r="A968" t="s">
        <v>998</v>
      </c>
      <c r="B968" s="3">
        <v>46193</v>
      </c>
      <c r="C968" t="s">
        <v>835</v>
      </c>
      <c r="D968" t="s">
        <v>17</v>
      </c>
      <c r="E968">
        <v>22</v>
      </c>
      <c r="F968">
        <v>50</v>
      </c>
      <c r="G968">
        <v>0.2</v>
      </c>
      <c r="H968">
        <v>15</v>
      </c>
      <c r="I968" t="s">
        <v>836</v>
      </c>
      <c r="J968" t="s">
        <v>19</v>
      </c>
      <c r="K968">
        <v>15</v>
      </c>
      <c r="L968">
        <f t="shared" si="60"/>
        <v>1100</v>
      </c>
      <c r="M968">
        <f t="shared" si="61"/>
        <v>10</v>
      </c>
      <c r="N968">
        <f t="shared" si="62"/>
        <v>330</v>
      </c>
      <c r="O968" s="5">
        <f t="shared" si="63"/>
        <v>755</v>
      </c>
    </row>
    <row r="969" spans="1:15" x14ac:dyDescent="0.3">
      <c r="A969" t="s">
        <v>999</v>
      </c>
      <c r="B969" s="3">
        <v>46220</v>
      </c>
      <c r="C969" t="s">
        <v>835</v>
      </c>
      <c r="D969" t="s">
        <v>17</v>
      </c>
      <c r="E969">
        <v>20</v>
      </c>
      <c r="F969">
        <v>50</v>
      </c>
      <c r="G969">
        <v>0.2</v>
      </c>
      <c r="H969">
        <v>20</v>
      </c>
      <c r="I969" t="s">
        <v>836</v>
      </c>
      <c r="J969" t="s">
        <v>19</v>
      </c>
      <c r="K969">
        <v>15</v>
      </c>
      <c r="L969">
        <f t="shared" si="60"/>
        <v>1000</v>
      </c>
      <c r="M969">
        <f t="shared" si="61"/>
        <v>10</v>
      </c>
      <c r="N969">
        <f t="shared" si="62"/>
        <v>300</v>
      </c>
      <c r="O969" s="5">
        <f t="shared" si="63"/>
        <v>680</v>
      </c>
    </row>
    <row r="970" spans="1:15" x14ac:dyDescent="0.3">
      <c r="A970" t="s">
        <v>1000</v>
      </c>
      <c r="B970" s="3">
        <v>46171</v>
      </c>
      <c r="C970" t="s">
        <v>835</v>
      </c>
      <c r="D970" t="s">
        <v>24</v>
      </c>
      <c r="E970">
        <v>25</v>
      </c>
      <c r="F970">
        <v>50</v>
      </c>
      <c r="G970">
        <v>0.2</v>
      </c>
      <c r="H970">
        <v>20</v>
      </c>
      <c r="I970" t="s">
        <v>836</v>
      </c>
      <c r="J970" t="s">
        <v>19</v>
      </c>
      <c r="K970">
        <v>15</v>
      </c>
      <c r="L970">
        <f t="shared" si="60"/>
        <v>1250</v>
      </c>
      <c r="M970">
        <f t="shared" si="61"/>
        <v>10</v>
      </c>
      <c r="N970">
        <f t="shared" si="62"/>
        <v>375</v>
      </c>
      <c r="O970" s="5">
        <f t="shared" si="63"/>
        <v>855</v>
      </c>
    </row>
    <row r="971" spans="1:15" x14ac:dyDescent="0.3">
      <c r="A971" t="s">
        <v>1001</v>
      </c>
      <c r="B971" s="3">
        <v>46109</v>
      </c>
      <c r="C971" t="s">
        <v>835</v>
      </c>
      <c r="D971" t="s">
        <v>22</v>
      </c>
      <c r="E971">
        <v>6</v>
      </c>
      <c r="F971">
        <v>50</v>
      </c>
      <c r="G971">
        <v>0</v>
      </c>
      <c r="H971">
        <v>15</v>
      </c>
      <c r="I971" t="s">
        <v>836</v>
      </c>
      <c r="J971" t="s">
        <v>19</v>
      </c>
      <c r="K971">
        <v>15</v>
      </c>
      <c r="L971">
        <f t="shared" si="60"/>
        <v>300</v>
      </c>
      <c r="M971">
        <f t="shared" si="61"/>
        <v>0</v>
      </c>
      <c r="N971">
        <f t="shared" si="62"/>
        <v>90</v>
      </c>
      <c r="O971" s="5">
        <f t="shared" si="63"/>
        <v>195</v>
      </c>
    </row>
    <row r="972" spans="1:15" x14ac:dyDescent="0.3">
      <c r="A972" t="s">
        <v>1002</v>
      </c>
      <c r="B972" s="3">
        <v>46074</v>
      </c>
      <c r="C972" t="s">
        <v>835</v>
      </c>
      <c r="D972" t="s">
        <v>34</v>
      </c>
      <c r="E972">
        <v>24</v>
      </c>
      <c r="F972">
        <v>50</v>
      </c>
      <c r="G972">
        <v>0.1</v>
      </c>
      <c r="H972">
        <v>10</v>
      </c>
      <c r="I972" t="s">
        <v>836</v>
      </c>
      <c r="J972" t="s">
        <v>19</v>
      </c>
      <c r="K972">
        <v>15</v>
      </c>
      <c r="L972">
        <f t="shared" si="60"/>
        <v>1200</v>
      </c>
      <c r="M972">
        <f t="shared" si="61"/>
        <v>5</v>
      </c>
      <c r="N972">
        <f t="shared" si="62"/>
        <v>360</v>
      </c>
      <c r="O972" s="5">
        <f t="shared" si="63"/>
        <v>830</v>
      </c>
    </row>
    <row r="973" spans="1:15" x14ac:dyDescent="0.3">
      <c r="A973" t="s">
        <v>1003</v>
      </c>
      <c r="B973" s="3">
        <v>46273</v>
      </c>
      <c r="C973" t="s">
        <v>835</v>
      </c>
      <c r="D973" t="s">
        <v>24</v>
      </c>
      <c r="E973">
        <v>5</v>
      </c>
      <c r="F973">
        <v>50</v>
      </c>
      <c r="G973">
        <v>0.35</v>
      </c>
      <c r="H973">
        <v>10</v>
      </c>
      <c r="I973" t="s">
        <v>836</v>
      </c>
      <c r="J973" t="s">
        <v>19</v>
      </c>
      <c r="K973">
        <v>15</v>
      </c>
      <c r="L973">
        <f t="shared" si="60"/>
        <v>250</v>
      </c>
      <c r="M973">
        <f t="shared" si="61"/>
        <v>17.5</v>
      </c>
      <c r="N973">
        <f t="shared" si="62"/>
        <v>75</v>
      </c>
      <c r="O973" s="5">
        <f t="shared" si="63"/>
        <v>165</v>
      </c>
    </row>
    <row r="974" spans="1:15" x14ac:dyDescent="0.3">
      <c r="A974" t="s">
        <v>1004</v>
      </c>
      <c r="B974" s="3">
        <v>46039</v>
      </c>
      <c r="C974" t="s">
        <v>835</v>
      </c>
      <c r="D974" t="s">
        <v>17</v>
      </c>
      <c r="E974">
        <v>11</v>
      </c>
      <c r="F974">
        <v>50</v>
      </c>
      <c r="G974">
        <v>0</v>
      </c>
      <c r="H974">
        <v>10</v>
      </c>
      <c r="I974" t="s">
        <v>836</v>
      </c>
      <c r="J974" t="s">
        <v>19</v>
      </c>
      <c r="K974">
        <v>15</v>
      </c>
      <c r="L974">
        <f t="shared" si="60"/>
        <v>550</v>
      </c>
      <c r="M974">
        <f t="shared" si="61"/>
        <v>0</v>
      </c>
      <c r="N974">
        <f t="shared" si="62"/>
        <v>165</v>
      </c>
      <c r="O974" s="5">
        <f t="shared" si="63"/>
        <v>375</v>
      </c>
    </row>
    <row r="975" spans="1:15" x14ac:dyDescent="0.3">
      <c r="A975" t="s">
        <v>1005</v>
      </c>
      <c r="B975" s="3">
        <v>46214</v>
      </c>
      <c r="C975" t="s">
        <v>835</v>
      </c>
      <c r="D975" t="s">
        <v>34</v>
      </c>
      <c r="E975">
        <v>11</v>
      </c>
      <c r="F975">
        <v>50</v>
      </c>
      <c r="G975">
        <v>0.2</v>
      </c>
      <c r="H975">
        <v>15</v>
      </c>
      <c r="I975" t="s">
        <v>836</v>
      </c>
      <c r="J975" t="s">
        <v>19</v>
      </c>
      <c r="K975">
        <v>15</v>
      </c>
      <c r="L975">
        <f t="shared" si="60"/>
        <v>550</v>
      </c>
      <c r="M975">
        <f t="shared" si="61"/>
        <v>10</v>
      </c>
      <c r="N975">
        <f t="shared" si="62"/>
        <v>165</v>
      </c>
      <c r="O975" s="5">
        <f t="shared" si="63"/>
        <v>370</v>
      </c>
    </row>
    <row r="976" spans="1:15" x14ac:dyDescent="0.3">
      <c r="A976" t="s">
        <v>1006</v>
      </c>
      <c r="B976" s="3">
        <v>46298</v>
      </c>
      <c r="C976" t="s">
        <v>835</v>
      </c>
      <c r="D976" t="s">
        <v>17</v>
      </c>
      <c r="E976">
        <v>18</v>
      </c>
      <c r="F976">
        <v>50</v>
      </c>
      <c r="G976">
        <v>0.35</v>
      </c>
      <c r="H976">
        <v>20</v>
      </c>
      <c r="I976" t="s">
        <v>836</v>
      </c>
      <c r="J976" t="s">
        <v>19</v>
      </c>
      <c r="K976">
        <v>15</v>
      </c>
      <c r="L976">
        <f t="shared" si="60"/>
        <v>900</v>
      </c>
      <c r="M976">
        <f t="shared" si="61"/>
        <v>17.5</v>
      </c>
      <c r="N976">
        <f t="shared" si="62"/>
        <v>270</v>
      </c>
      <c r="O976" s="5">
        <f t="shared" si="63"/>
        <v>610</v>
      </c>
    </row>
    <row r="977" spans="1:15" x14ac:dyDescent="0.3">
      <c r="A977" t="s">
        <v>1007</v>
      </c>
      <c r="B977" s="3">
        <v>46284</v>
      </c>
      <c r="C977" t="s">
        <v>835</v>
      </c>
      <c r="D977" t="s">
        <v>34</v>
      </c>
      <c r="E977">
        <v>5</v>
      </c>
      <c r="F977">
        <v>50</v>
      </c>
      <c r="G977">
        <v>0.2</v>
      </c>
      <c r="H977">
        <v>5</v>
      </c>
      <c r="I977" t="s">
        <v>836</v>
      </c>
      <c r="J977" t="s">
        <v>19</v>
      </c>
      <c r="K977">
        <v>15</v>
      </c>
      <c r="L977">
        <f t="shared" si="60"/>
        <v>250</v>
      </c>
      <c r="M977">
        <f t="shared" si="61"/>
        <v>10</v>
      </c>
      <c r="N977">
        <f t="shared" si="62"/>
        <v>75</v>
      </c>
      <c r="O977" s="5">
        <f t="shared" si="63"/>
        <v>170</v>
      </c>
    </row>
    <row r="978" spans="1:15" x14ac:dyDescent="0.3">
      <c r="A978" t="s">
        <v>1008</v>
      </c>
      <c r="B978" s="3">
        <v>46293</v>
      </c>
      <c r="C978" t="s">
        <v>835</v>
      </c>
      <c r="D978" t="s">
        <v>34</v>
      </c>
      <c r="E978">
        <v>6</v>
      </c>
      <c r="F978">
        <v>50</v>
      </c>
      <c r="G978">
        <v>0.35</v>
      </c>
      <c r="H978">
        <v>20</v>
      </c>
      <c r="I978" t="s">
        <v>836</v>
      </c>
      <c r="J978" t="s">
        <v>19</v>
      </c>
      <c r="K978">
        <v>15</v>
      </c>
      <c r="L978">
        <f t="shared" si="60"/>
        <v>300</v>
      </c>
      <c r="M978">
        <f t="shared" si="61"/>
        <v>17.5</v>
      </c>
      <c r="N978">
        <f t="shared" si="62"/>
        <v>90</v>
      </c>
      <c r="O978" s="5">
        <f t="shared" si="63"/>
        <v>190</v>
      </c>
    </row>
    <row r="979" spans="1:15" x14ac:dyDescent="0.3">
      <c r="A979" t="s">
        <v>1009</v>
      </c>
      <c r="B979" s="3">
        <v>46083</v>
      </c>
      <c r="C979" t="s">
        <v>835</v>
      </c>
      <c r="D979" t="s">
        <v>24</v>
      </c>
      <c r="E979">
        <v>6</v>
      </c>
      <c r="F979">
        <v>50</v>
      </c>
      <c r="G979">
        <v>0.35</v>
      </c>
      <c r="H979">
        <v>20</v>
      </c>
      <c r="I979" t="s">
        <v>836</v>
      </c>
      <c r="J979" t="s">
        <v>19</v>
      </c>
      <c r="K979">
        <v>15</v>
      </c>
      <c r="L979">
        <f t="shared" si="60"/>
        <v>300</v>
      </c>
      <c r="M979">
        <f t="shared" si="61"/>
        <v>17.5</v>
      </c>
      <c r="N979">
        <f t="shared" si="62"/>
        <v>90</v>
      </c>
      <c r="O979" s="5">
        <f t="shared" si="63"/>
        <v>190</v>
      </c>
    </row>
    <row r="980" spans="1:15" x14ac:dyDescent="0.3">
      <c r="A980" t="s">
        <v>1010</v>
      </c>
      <c r="B980" s="3">
        <v>46045</v>
      </c>
      <c r="C980" t="s">
        <v>835</v>
      </c>
      <c r="D980" t="s">
        <v>34</v>
      </c>
      <c r="E980">
        <v>3</v>
      </c>
      <c r="F980">
        <v>50</v>
      </c>
      <c r="G980">
        <v>0</v>
      </c>
      <c r="H980">
        <v>5</v>
      </c>
      <c r="I980" t="s">
        <v>836</v>
      </c>
      <c r="J980" t="s">
        <v>19</v>
      </c>
      <c r="K980">
        <v>15</v>
      </c>
      <c r="L980">
        <f t="shared" si="60"/>
        <v>150</v>
      </c>
      <c r="M980">
        <f t="shared" si="61"/>
        <v>0</v>
      </c>
      <c r="N980">
        <f t="shared" si="62"/>
        <v>45</v>
      </c>
      <c r="O980" s="5">
        <f t="shared" si="63"/>
        <v>100</v>
      </c>
    </row>
    <row r="981" spans="1:15" x14ac:dyDescent="0.3">
      <c r="A981" t="s">
        <v>1011</v>
      </c>
      <c r="B981" s="3">
        <v>46114</v>
      </c>
      <c r="C981" t="s">
        <v>835</v>
      </c>
      <c r="D981" t="s">
        <v>22</v>
      </c>
      <c r="E981">
        <v>23</v>
      </c>
      <c r="F981">
        <v>50</v>
      </c>
      <c r="G981">
        <v>0</v>
      </c>
      <c r="H981">
        <v>20</v>
      </c>
      <c r="I981" t="s">
        <v>836</v>
      </c>
      <c r="J981" t="s">
        <v>19</v>
      </c>
      <c r="K981">
        <v>15</v>
      </c>
      <c r="L981">
        <f t="shared" si="60"/>
        <v>1150</v>
      </c>
      <c r="M981">
        <f t="shared" si="61"/>
        <v>0</v>
      </c>
      <c r="N981">
        <f t="shared" si="62"/>
        <v>345</v>
      </c>
      <c r="O981" s="5">
        <f t="shared" si="63"/>
        <v>785</v>
      </c>
    </row>
    <row r="982" spans="1:15" x14ac:dyDescent="0.3">
      <c r="A982" t="s">
        <v>1012</v>
      </c>
      <c r="B982" s="3">
        <v>46215</v>
      </c>
      <c r="C982" t="s">
        <v>835</v>
      </c>
      <c r="D982" t="s">
        <v>34</v>
      </c>
      <c r="E982">
        <v>4</v>
      </c>
      <c r="F982">
        <v>50</v>
      </c>
      <c r="G982">
        <v>0.1</v>
      </c>
      <c r="H982">
        <v>5</v>
      </c>
      <c r="I982" t="s">
        <v>836</v>
      </c>
      <c r="J982" t="s">
        <v>19</v>
      </c>
      <c r="K982">
        <v>15</v>
      </c>
      <c r="L982">
        <f t="shared" si="60"/>
        <v>200</v>
      </c>
      <c r="M982">
        <f t="shared" si="61"/>
        <v>5</v>
      </c>
      <c r="N982">
        <f t="shared" si="62"/>
        <v>60</v>
      </c>
      <c r="O982" s="5">
        <f t="shared" si="63"/>
        <v>135</v>
      </c>
    </row>
    <row r="983" spans="1:15" x14ac:dyDescent="0.3">
      <c r="A983" t="s">
        <v>1013</v>
      </c>
      <c r="B983" s="3">
        <v>46073</v>
      </c>
      <c r="C983" t="s">
        <v>835</v>
      </c>
      <c r="D983" t="s">
        <v>34</v>
      </c>
      <c r="E983">
        <v>25</v>
      </c>
      <c r="F983">
        <v>50</v>
      </c>
      <c r="G983">
        <v>0.1</v>
      </c>
      <c r="H983">
        <v>20</v>
      </c>
      <c r="I983" t="s">
        <v>836</v>
      </c>
      <c r="J983" t="s">
        <v>19</v>
      </c>
      <c r="K983">
        <v>15</v>
      </c>
      <c r="L983">
        <f t="shared" si="60"/>
        <v>1250</v>
      </c>
      <c r="M983">
        <f t="shared" si="61"/>
        <v>5</v>
      </c>
      <c r="N983">
        <f t="shared" si="62"/>
        <v>375</v>
      </c>
      <c r="O983" s="5">
        <f t="shared" si="63"/>
        <v>855</v>
      </c>
    </row>
    <row r="984" spans="1:15" x14ac:dyDescent="0.3">
      <c r="A984" t="s">
        <v>1014</v>
      </c>
      <c r="B984" s="3">
        <v>46131</v>
      </c>
      <c r="C984" t="s">
        <v>835</v>
      </c>
      <c r="D984" t="s">
        <v>17</v>
      </c>
      <c r="E984">
        <v>11</v>
      </c>
      <c r="F984">
        <v>50</v>
      </c>
      <c r="G984">
        <v>0</v>
      </c>
      <c r="H984">
        <v>20</v>
      </c>
      <c r="I984" t="s">
        <v>836</v>
      </c>
      <c r="J984" t="s">
        <v>19</v>
      </c>
      <c r="K984">
        <v>15</v>
      </c>
      <c r="L984">
        <f t="shared" si="60"/>
        <v>550</v>
      </c>
      <c r="M984">
        <f t="shared" si="61"/>
        <v>0</v>
      </c>
      <c r="N984">
        <f t="shared" si="62"/>
        <v>165</v>
      </c>
      <c r="O984" s="5">
        <f t="shared" si="63"/>
        <v>365</v>
      </c>
    </row>
    <row r="985" spans="1:15" x14ac:dyDescent="0.3">
      <c r="A985" t="s">
        <v>1015</v>
      </c>
      <c r="B985" s="3">
        <v>46249</v>
      </c>
      <c r="C985" t="s">
        <v>835</v>
      </c>
      <c r="D985" t="s">
        <v>17</v>
      </c>
      <c r="E985">
        <v>13</v>
      </c>
      <c r="F985">
        <v>50</v>
      </c>
      <c r="G985">
        <v>0.2</v>
      </c>
      <c r="H985">
        <v>10</v>
      </c>
      <c r="I985" t="s">
        <v>836</v>
      </c>
      <c r="J985" t="s">
        <v>19</v>
      </c>
      <c r="K985">
        <v>15</v>
      </c>
      <c r="L985">
        <f t="shared" si="60"/>
        <v>650</v>
      </c>
      <c r="M985">
        <f t="shared" si="61"/>
        <v>10</v>
      </c>
      <c r="N985">
        <f t="shared" si="62"/>
        <v>195</v>
      </c>
      <c r="O985" s="5">
        <f t="shared" si="63"/>
        <v>445</v>
      </c>
    </row>
    <row r="986" spans="1:15" x14ac:dyDescent="0.3">
      <c r="A986" t="s">
        <v>1016</v>
      </c>
      <c r="B986" s="3">
        <v>46262</v>
      </c>
      <c r="C986" t="s">
        <v>835</v>
      </c>
      <c r="D986" t="s">
        <v>34</v>
      </c>
      <c r="E986">
        <v>18</v>
      </c>
      <c r="F986">
        <v>50</v>
      </c>
      <c r="G986">
        <v>0.2</v>
      </c>
      <c r="H986">
        <v>20</v>
      </c>
      <c r="I986" t="s">
        <v>836</v>
      </c>
      <c r="J986" t="s">
        <v>19</v>
      </c>
      <c r="K986">
        <v>15</v>
      </c>
      <c r="L986">
        <f t="shared" si="60"/>
        <v>900</v>
      </c>
      <c r="M986">
        <f t="shared" si="61"/>
        <v>10</v>
      </c>
      <c r="N986">
        <f t="shared" si="62"/>
        <v>270</v>
      </c>
      <c r="O986" s="5">
        <f t="shared" si="63"/>
        <v>610</v>
      </c>
    </row>
    <row r="987" spans="1:15" x14ac:dyDescent="0.3">
      <c r="A987" t="s">
        <v>1017</v>
      </c>
      <c r="B987" s="3">
        <v>46375</v>
      </c>
      <c r="C987" t="s">
        <v>835</v>
      </c>
      <c r="D987" t="s">
        <v>17</v>
      </c>
      <c r="E987">
        <v>11</v>
      </c>
      <c r="F987">
        <v>50</v>
      </c>
      <c r="G987">
        <v>0.2</v>
      </c>
      <c r="H987">
        <v>20</v>
      </c>
      <c r="I987" t="s">
        <v>836</v>
      </c>
      <c r="J987" t="s">
        <v>19</v>
      </c>
      <c r="K987">
        <v>15</v>
      </c>
      <c r="L987">
        <f t="shared" si="60"/>
        <v>550</v>
      </c>
      <c r="M987">
        <f t="shared" si="61"/>
        <v>10</v>
      </c>
      <c r="N987">
        <f t="shared" si="62"/>
        <v>165</v>
      </c>
      <c r="O987" s="5">
        <f t="shared" si="63"/>
        <v>365</v>
      </c>
    </row>
    <row r="988" spans="1:15" x14ac:dyDescent="0.3">
      <c r="A988" t="s">
        <v>1018</v>
      </c>
      <c r="B988" s="3">
        <v>46350</v>
      </c>
      <c r="C988" t="s">
        <v>835</v>
      </c>
      <c r="D988" t="s">
        <v>34</v>
      </c>
      <c r="E988">
        <v>24</v>
      </c>
      <c r="F988">
        <v>50</v>
      </c>
      <c r="G988">
        <v>0.2</v>
      </c>
      <c r="H988">
        <v>20</v>
      </c>
      <c r="I988" t="s">
        <v>836</v>
      </c>
      <c r="J988" t="s">
        <v>19</v>
      </c>
      <c r="K988">
        <v>15</v>
      </c>
      <c r="L988">
        <f t="shared" si="60"/>
        <v>1200</v>
      </c>
      <c r="M988">
        <f t="shared" si="61"/>
        <v>10</v>
      </c>
      <c r="N988">
        <f t="shared" si="62"/>
        <v>360</v>
      </c>
      <c r="O988" s="5">
        <f t="shared" si="63"/>
        <v>820</v>
      </c>
    </row>
    <row r="989" spans="1:15" x14ac:dyDescent="0.3">
      <c r="A989" t="s">
        <v>1019</v>
      </c>
      <c r="B989" s="3">
        <v>46164</v>
      </c>
      <c r="C989" t="s">
        <v>835</v>
      </c>
      <c r="D989" t="s">
        <v>34</v>
      </c>
      <c r="E989">
        <v>3</v>
      </c>
      <c r="F989">
        <v>50</v>
      </c>
      <c r="G989">
        <v>0</v>
      </c>
      <c r="H989">
        <v>5</v>
      </c>
      <c r="I989" t="s">
        <v>836</v>
      </c>
      <c r="J989" t="s">
        <v>19</v>
      </c>
      <c r="K989">
        <v>15</v>
      </c>
      <c r="L989">
        <f t="shared" si="60"/>
        <v>150</v>
      </c>
      <c r="M989">
        <f t="shared" si="61"/>
        <v>0</v>
      </c>
      <c r="N989">
        <f t="shared" si="62"/>
        <v>45</v>
      </c>
      <c r="O989" s="5">
        <f t="shared" si="63"/>
        <v>100</v>
      </c>
    </row>
    <row r="990" spans="1:15" x14ac:dyDescent="0.3">
      <c r="A990" t="s">
        <v>1020</v>
      </c>
      <c r="B990" s="3">
        <v>46283</v>
      </c>
      <c r="C990" t="s">
        <v>835</v>
      </c>
      <c r="D990" t="s">
        <v>24</v>
      </c>
      <c r="E990">
        <v>11</v>
      </c>
      <c r="F990">
        <v>50</v>
      </c>
      <c r="G990">
        <v>0.2</v>
      </c>
      <c r="H990">
        <v>5</v>
      </c>
      <c r="I990" t="s">
        <v>836</v>
      </c>
      <c r="J990" t="s">
        <v>19</v>
      </c>
      <c r="K990">
        <v>15</v>
      </c>
      <c r="L990">
        <f t="shared" si="60"/>
        <v>550</v>
      </c>
      <c r="M990">
        <f t="shared" si="61"/>
        <v>10</v>
      </c>
      <c r="N990">
        <f t="shared" si="62"/>
        <v>165</v>
      </c>
      <c r="O990" s="5">
        <f t="shared" si="63"/>
        <v>380</v>
      </c>
    </row>
    <row r="991" spans="1:15" x14ac:dyDescent="0.3">
      <c r="A991" t="s">
        <v>1021</v>
      </c>
      <c r="B991" s="3">
        <v>46358</v>
      </c>
      <c r="C991" t="s">
        <v>835</v>
      </c>
      <c r="D991" t="s">
        <v>24</v>
      </c>
      <c r="E991">
        <v>6</v>
      </c>
      <c r="F991">
        <v>50</v>
      </c>
      <c r="G991">
        <v>0.35</v>
      </c>
      <c r="H991">
        <v>10</v>
      </c>
      <c r="I991" t="s">
        <v>836</v>
      </c>
      <c r="J991" t="s">
        <v>19</v>
      </c>
      <c r="K991">
        <v>15</v>
      </c>
      <c r="L991">
        <f t="shared" si="60"/>
        <v>300</v>
      </c>
      <c r="M991">
        <f t="shared" si="61"/>
        <v>17.5</v>
      </c>
      <c r="N991">
        <f t="shared" si="62"/>
        <v>90</v>
      </c>
      <c r="O991" s="5">
        <f t="shared" si="63"/>
        <v>200</v>
      </c>
    </row>
    <row r="992" spans="1:15" x14ac:dyDescent="0.3">
      <c r="A992" t="s">
        <v>1022</v>
      </c>
      <c r="B992" s="3">
        <v>46142</v>
      </c>
      <c r="C992" t="s">
        <v>835</v>
      </c>
      <c r="D992" t="s">
        <v>22</v>
      </c>
      <c r="E992">
        <v>22</v>
      </c>
      <c r="F992">
        <v>50</v>
      </c>
      <c r="G992">
        <v>0</v>
      </c>
      <c r="H992">
        <v>10</v>
      </c>
      <c r="I992" t="s">
        <v>836</v>
      </c>
      <c r="J992" t="s">
        <v>19</v>
      </c>
      <c r="K992">
        <v>15</v>
      </c>
      <c r="L992">
        <f t="shared" si="60"/>
        <v>1100</v>
      </c>
      <c r="M992">
        <f t="shared" si="61"/>
        <v>0</v>
      </c>
      <c r="N992">
        <f t="shared" si="62"/>
        <v>330</v>
      </c>
      <c r="O992" s="5">
        <f t="shared" si="63"/>
        <v>760</v>
      </c>
    </row>
    <row r="993" spans="1:15" x14ac:dyDescent="0.3">
      <c r="A993" t="s">
        <v>1023</v>
      </c>
      <c r="B993" s="3">
        <v>46191</v>
      </c>
      <c r="C993" t="s">
        <v>835</v>
      </c>
      <c r="D993" t="s">
        <v>17</v>
      </c>
      <c r="E993">
        <v>5</v>
      </c>
      <c r="F993">
        <v>50</v>
      </c>
      <c r="G993">
        <v>0</v>
      </c>
      <c r="H993">
        <v>5</v>
      </c>
      <c r="I993" t="s">
        <v>836</v>
      </c>
      <c r="J993" t="s">
        <v>19</v>
      </c>
      <c r="K993">
        <v>15</v>
      </c>
      <c r="L993">
        <f t="shared" si="60"/>
        <v>250</v>
      </c>
      <c r="M993">
        <f t="shared" si="61"/>
        <v>0</v>
      </c>
      <c r="N993">
        <f t="shared" si="62"/>
        <v>75</v>
      </c>
      <c r="O993" s="5">
        <f t="shared" si="63"/>
        <v>170</v>
      </c>
    </row>
    <row r="994" spans="1:15" x14ac:dyDescent="0.3">
      <c r="A994" t="s">
        <v>1024</v>
      </c>
      <c r="B994" s="3">
        <v>46027</v>
      </c>
      <c r="C994" t="s">
        <v>835</v>
      </c>
      <c r="D994" t="s">
        <v>24</v>
      </c>
      <c r="E994">
        <v>16</v>
      </c>
      <c r="F994">
        <v>50</v>
      </c>
      <c r="G994">
        <v>0</v>
      </c>
      <c r="H994">
        <v>15</v>
      </c>
      <c r="I994" t="s">
        <v>836</v>
      </c>
      <c r="J994" t="s">
        <v>19</v>
      </c>
      <c r="K994">
        <v>15</v>
      </c>
      <c r="L994">
        <f t="shared" si="60"/>
        <v>800</v>
      </c>
      <c r="M994">
        <f t="shared" si="61"/>
        <v>0</v>
      </c>
      <c r="N994">
        <f t="shared" si="62"/>
        <v>240</v>
      </c>
      <c r="O994" s="5">
        <f t="shared" si="63"/>
        <v>545</v>
      </c>
    </row>
    <row r="995" spans="1:15" x14ac:dyDescent="0.3">
      <c r="A995" t="s">
        <v>1025</v>
      </c>
      <c r="B995" s="3">
        <v>46170</v>
      </c>
      <c r="C995" t="s">
        <v>835</v>
      </c>
      <c r="D995" t="s">
        <v>24</v>
      </c>
      <c r="E995">
        <v>2</v>
      </c>
      <c r="F995">
        <v>50</v>
      </c>
      <c r="G995">
        <v>0</v>
      </c>
      <c r="H995">
        <v>15</v>
      </c>
      <c r="I995" t="s">
        <v>836</v>
      </c>
      <c r="J995" t="s">
        <v>19</v>
      </c>
      <c r="K995">
        <v>15</v>
      </c>
      <c r="L995">
        <f t="shared" si="60"/>
        <v>100</v>
      </c>
      <c r="M995">
        <f t="shared" si="61"/>
        <v>0</v>
      </c>
      <c r="N995">
        <f t="shared" si="62"/>
        <v>30</v>
      </c>
      <c r="O995" s="5">
        <f t="shared" si="63"/>
        <v>55</v>
      </c>
    </row>
    <row r="996" spans="1:15" x14ac:dyDescent="0.3">
      <c r="A996" t="s">
        <v>1026</v>
      </c>
      <c r="B996" s="3">
        <v>46321</v>
      </c>
      <c r="C996" t="s">
        <v>835</v>
      </c>
      <c r="D996" t="s">
        <v>22</v>
      </c>
      <c r="E996">
        <v>5</v>
      </c>
      <c r="F996">
        <v>50</v>
      </c>
      <c r="G996">
        <v>0.35</v>
      </c>
      <c r="H996">
        <v>10</v>
      </c>
      <c r="I996" t="s">
        <v>836</v>
      </c>
      <c r="J996" t="s">
        <v>19</v>
      </c>
      <c r="K996">
        <v>15</v>
      </c>
      <c r="L996">
        <f t="shared" si="60"/>
        <v>250</v>
      </c>
      <c r="M996">
        <f t="shared" si="61"/>
        <v>17.5</v>
      </c>
      <c r="N996">
        <f t="shared" si="62"/>
        <v>75</v>
      </c>
      <c r="O996" s="5">
        <f t="shared" si="63"/>
        <v>165</v>
      </c>
    </row>
    <row r="997" spans="1:15" x14ac:dyDescent="0.3">
      <c r="A997" t="s">
        <v>1027</v>
      </c>
      <c r="B997" s="3">
        <v>46186</v>
      </c>
      <c r="C997" t="s">
        <v>835</v>
      </c>
      <c r="D997" t="s">
        <v>24</v>
      </c>
      <c r="E997">
        <v>22</v>
      </c>
      <c r="F997">
        <v>50</v>
      </c>
      <c r="G997">
        <v>0.1</v>
      </c>
      <c r="H997">
        <v>10</v>
      </c>
      <c r="I997" t="s">
        <v>836</v>
      </c>
      <c r="J997" t="s">
        <v>19</v>
      </c>
      <c r="K997">
        <v>15</v>
      </c>
      <c r="L997">
        <f t="shared" si="60"/>
        <v>1100</v>
      </c>
      <c r="M997">
        <f t="shared" si="61"/>
        <v>5</v>
      </c>
      <c r="N997">
        <f t="shared" si="62"/>
        <v>330</v>
      </c>
      <c r="O997" s="5">
        <f t="shared" si="63"/>
        <v>760</v>
      </c>
    </row>
    <row r="998" spans="1:15" x14ac:dyDescent="0.3">
      <c r="A998" t="s">
        <v>1028</v>
      </c>
      <c r="B998" s="3">
        <v>46193</v>
      </c>
      <c r="C998" t="s">
        <v>835</v>
      </c>
      <c r="D998" t="s">
        <v>17</v>
      </c>
      <c r="E998">
        <v>24</v>
      </c>
      <c r="F998">
        <v>50</v>
      </c>
      <c r="G998">
        <v>0.1</v>
      </c>
      <c r="H998">
        <v>5</v>
      </c>
      <c r="I998" t="s">
        <v>836</v>
      </c>
      <c r="J998" t="s">
        <v>19</v>
      </c>
      <c r="K998">
        <v>15</v>
      </c>
      <c r="L998">
        <f t="shared" si="60"/>
        <v>1200</v>
      </c>
      <c r="M998">
        <f t="shared" si="61"/>
        <v>5</v>
      </c>
      <c r="N998">
        <f t="shared" si="62"/>
        <v>360</v>
      </c>
      <c r="O998" s="5">
        <f t="shared" si="63"/>
        <v>835</v>
      </c>
    </row>
    <row r="999" spans="1:15" x14ac:dyDescent="0.3">
      <c r="A999" t="s">
        <v>1029</v>
      </c>
      <c r="B999" s="3">
        <v>46258</v>
      </c>
      <c r="C999" t="s">
        <v>835</v>
      </c>
      <c r="D999" t="s">
        <v>17</v>
      </c>
      <c r="E999">
        <v>24</v>
      </c>
      <c r="F999">
        <v>50</v>
      </c>
      <c r="G999">
        <v>0.2</v>
      </c>
      <c r="H999">
        <v>20</v>
      </c>
      <c r="I999" t="s">
        <v>836</v>
      </c>
      <c r="J999" t="s">
        <v>19</v>
      </c>
      <c r="K999">
        <v>15</v>
      </c>
      <c r="L999">
        <f t="shared" si="60"/>
        <v>1200</v>
      </c>
      <c r="M999">
        <f t="shared" si="61"/>
        <v>10</v>
      </c>
      <c r="N999">
        <f t="shared" si="62"/>
        <v>360</v>
      </c>
      <c r="O999" s="5">
        <f t="shared" si="63"/>
        <v>820</v>
      </c>
    </row>
    <row r="1000" spans="1:15" x14ac:dyDescent="0.3">
      <c r="A1000" t="s">
        <v>1030</v>
      </c>
      <c r="B1000" s="3">
        <v>46228</v>
      </c>
      <c r="C1000" t="s">
        <v>835</v>
      </c>
      <c r="D1000" t="s">
        <v>34</v>
      </c>
      <c r="E1000">
        <v>17</v>
      </c>
      <c r="F1000">
        <v>50</v>
      </c>
      <c r="G1000">
        <v>0.1</v>
      </c>
      <c r="H1000">
        <v>5</v>
      </c>
      <c r="I1000" t="s">
        <v>836</v>
      </c>
      <c r="J1000" t="s">
        <v>19</v>
      </c>
      <c r="K1000">
        <v>15</v>
      </c>
      <c r="L1000">
        <f t="shared" si="60"/>
        <v>850</v>
      </c>
      <c r="M1000">
        <f t="shared" si="61"/>
        <v>5</v>
      </c>
      <c r="N1000">
        <f t="shared" si="62"/>
        <v>255</v>
      </c>
      <c r="O1000" s="5">
        <f t="shared" si="63"/>
        <v>590</v>
      </c>
    </row>
    <row r="1001" spans="1:15" x14ac:dyDescent="0.3">
      <c r="A1001" t="s">
        <v>1031</v>
      </c>
      <c r="B1001" s="3">
        <v>46208</v>
      </c>
      <c r="C1001" t="s">
        <v>835</v>
      </c>
      <c r="D1001" t="s">
        <v>17</v>
      </c>
      <c r="E1001">
        <v>14</v>
      </c>
      <c r="F1001">
        <v>50</v>
      </c>
      <c r="G1001">
        <v>0.2</v>
      </c>
      <c r="H1001">
        <v>20</v>
      </c>
      <c r="I1001" t="s">
        <v>836</v>
      </c>
      <c r="J1001" t="s">
        <v>19</v>
      </c>
      <c r="K1001">
        <v>15</v>
      </c>
      <c r="L1001">
        <f t="shared" si="60"/>
        <v>700</v>
      </c>
      <c r="M1001">
        <f t="shared" si="61"/>
        <v>10</v>
      </c>
      <c r="N1001">
        <f t="shared" si="62"/>
        <v>210</v>
      </c>
      <c r="O1001" s="5">
        <f t="shared" si="63"/>
        <v>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E14" sqref="E14"/>
    </sheetView>
  </sheetViews>
  <sheetFormatPr defaultRowHeight="14.4" x14ac:dyDescent="0.3"/>
  <cols>
    <col min="1" max="1" width="20.44140625" customWidth="1"/>
    <col min="2" max="2" width="27.109375" customWidth="1"/>
    <col min="3" max="3" width="17.77734375" customWidth="1"/>
    <col min="4" max="4" width="20.44140625" customWidth="1"/>
  </cols>
  <sheetData>
    <row r="1" spans="1:4" x14ac:dyDescent="0.3">
      <c r="A1" s="1" t="s">
        <v>2</v>
      </c>
      <c r="B1" s="1" t="s">
        <v>8</v>
      </c>
      <c r="C1" s="1" t="s">
        <v>9</v>
      </c>
      <c r="D1" s="1" t="s">
        <v>10</v>
      </c>
    </row>
    <row r="2" spans="1:4" x14ac:dyDescent="0.3">
      <c r="A2" t="s">
        <v>16</v>
      </c>
      <c r="B2" t="s">
        <v>18</v>
      </c>
      <c r="C2" t="s">
        <v>19</v>
      </c>
      <c r="D2">
        <v>10</v>
      </c>
    </row>
    <row r="3" spans="1:4" x14ac:dyDescent="0.3">
      <c r="A3" t="s">
        <v>229</v>
      </c>
      <c r="B3" t="s">
        <v>230</v>
      </c>
      <c r="C3" t="s">
        <v>19</v>
      </c>
      <c r="D3">
        <v>40</v>
      </c>
    </row>
    <row r="4" spans="1:4" x14ac:dyDescent="0.3">
      <c r="A4" t="s">
        <v>443</v>
      </c>
      <c r="B4" t="s">
        <v>444</v>
      </c>
      <c r="C4" t="s">
        <v>445</v>
      </c>
      <c r="D4">
        <v>150</v>
      </c>
    </row>
    <row r="5" spans="1:4" x14ac:dyDescent="0.3">
      <c r="A5" t="s">
        <v>835</v>
      </c>
      <c r="B5" t="s">
        <v>836</v>
      </c>
      <c r="C5" t="s">
        <v>19</v>
      </c>
      <c r="D5">
        <v>15</v>
      </c>
    </row>
    <row r="6" spans="1:4" x14ac:dyDescent="0.3">
      <c r="A6" t="s">
        <v>645</v>
      </c>
      <c r="B6" t="s">
        <v>646</v>
      </c>
      <c r="C6" t="s">
        <v>647</v>
      </c>
      <c r="D6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3355-CF86-4BD9-911F-73C7C2F5BFA1}">
  <dimension ref="A3:F8"/>
  <sheetViews>
    <sheetView showGridLines="0" tabSelected="1" workbookViewId="0">
      <selection activeCell="K6" sqref="K6"/>
    </sheetView>
  </sheetViews>
  <sheetFormatPr defaultRowHeight="14.4" x14ac:dyDescent="0.3"/>
  <cols>
    <col min="1" max="1" width="9.44140625" style="5" customWidth="1"/>
    <col min="2" max="2" width="16.21875" bestFit="1" customWidth="1"/>
    <col min="3" max="3" width="17.77734375" customWidth="1"/>
    <col min="4" max="4" width="16.33203125" bestFit="1" customWidth="1"/>
    <col min="5" max="5" width="16.44140625" bestFit="1" customWidth="1"/>
    <col min="6" max="6" width="13.109375" bestFit="1" customWidth="1"/>
  </cols>
  <sheetData>
    <row r="3" spans="1:6" x14ac:dyDescent="0.3">
      <c r="A3" s="12" t="s">
        <v>3</v>
      </c>
      <c r="B3" s="11" t="s">
        <v>1040</v>
      </c>
      <c r="C3" s="11" t="s">
        <v>1041</v>
      </c>
      <c r="D3" s="11" t="s">
        <v>1042</v>
      </c>
      <c r="E3" s="11" t="s">
        <v>1043</v>
      </c>
      <c r="F3" s="11" t="s">
        <v>1044</v>
      </c>
    </row>
    <row r="4" spans="1:6" ht="41.4" customHeight="1" x14ac:dyDescent="0.3">
      <c r="A4" s="13" t="s">
        <v>17</v>
      </c>
      <c r="B4" s="10">
        <v>483725</v>
      </c>
      <c r="C4" s="10">
        <v>652750</v>
      </c>
      <c r="D4" s="9">
        <v>25.191570881226053</v>
      </c>
      <c r="E4" s="8">
        <v>261</v>
      </c>
      <c r="F4" s="8">
        <v>3460</v>
      </c>
    </row>
    <row r="5" spans="1:6" ht="41.4" customHeight="1" x14ac:dyDescent="0.3">
      <c r="A5" s="13" t="s">
        <v>22</v>
      </c>
      <c r="B5" s="10">
        <v>420915</v>
      </c>
      <c r="C5" s="10">
        <v>582450</v>
      </c>
      <c r="D5" s="9">
        <v>27.98228346456693</v>
      </c>
      <c r="E5" s="8">
        <v>254</v>
      </c>
      <c r="F5" s="8">
        <v>3165</v>
      </c>
    </row>
    <row r="6" spans="1:6" ht="41.4" customHeight="1" x14ac:dyDescent="0.3">
      <c r="A6" s="13" t="s">
        <v>24</v>
      </c>
      <c r="B6" s="10">
        <v>400715</v>
      </c>
      <c r="C6" s="10">
        <v>545350</v>
      </c>
      <c r="D6" s="9">
        <v>33.549999999999997</v>
      </c>
      <c r="E6" s="8">
        <v>250</v>
      </c>
      <c r="F6" s="8">
        <v>2970</v>
      </c>
    </row>
    <row r="7" spans="1:6" ht="41.4" customHeight="1" x14ac:dyDescent="0.3">
      <c r="A7" s="13" t="s">
        <v>34</v>
      </c>
      <c r="B7" s="10">
        <v>359770</v>
      </c>
      <c r="C7" s="10">
        <v>492000</v>
      </c>
      <c r="D7" s="9">
        <v>30.563829787234042</v>
      </c>
      <c r="E7" s="8">
        <v>235</v>
      </c>
      <c r="F7" s="8">
        <v>3055</v>
      </c>
    </row>
    <row r="8" spans="1:6" x14ac:dyDescent="0.3">
      <c r="A8" s="14" t="s">
        <v>1045</v>
      </c>
      <c r="B8" s="10">
        <v>1665125</v>
      </c>
      <c r="C8" s="10">
        <v>2272550</v>
      </c>
      <c r="D8" s="9">
        <v>29.252500000000001</v>
      </c>
      <c r="E8" s="10">
        <v>1000</v>
      </c>
      <c r="F8" s="10">
        <v>12650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6E0F-C756-4920-AF99-4799F3028C5F}">
  <dimension ref="A3:G7"/>
  <sheetViews>
    <sheetView workbookViewId="0">
      <selection activeCell="F12" sqref="E12:F12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20.5546875" bestFit="1" customWidth="1"/>
    <col min="4" max="4" width="14.88671875" bestFit="1" customWidth="1"/>
    <col min="5" max="5" width="23" bestFit="1" customWidth="1"/>
    <col min="6" max="6" width="19.6640625" bestFit="1" customWidth="1"/>
    <col min="7" max="7" width="16.44140625" bestFit="1" customWidth="1"/>
  </cols>
  <sheetData>
    <row r="3" spans="1:7" x14ac:dyDescent="0.3">
      <c r="A3" s="6" t="s">
        <v>1032</v>
      </c>
      <c r="B3" t="s">
        <v>1034</v>
      </c>
      <c r="C3" t="s">
        <v>1035</v>
      </c>
      <c r="D3" t="s">
        <v>1038</v>
      </c>
      <c r="E3" t="s">
        <v>1037</v>
      </c>
      <c r="F3" t="s">
        <v>1039</v>
      </c>
      <c r="G3" t="s">
        <v>1036</v>
      </c>
    </row>
    <row r="4" spans="1:7" x14ac:dyDescent="0.3">
      <c r="A4" s="7" t="s">
        <v>445</v>
      </c>
      <c r="B4" s="9">
        <v>740660</v>
      </c>
      <c r="C4" s="9">
        <v>1114650</v>
      </c>
      <c r="D4" s="9">
        <v>2477</v>
      </c>
      <c r="E4" s="9">
        <v>14490</v>
      </c>
      <c r="F4" s="9">
        <v>2440</v>
      </c>
      <c r="G4" s="8">
        <v>199</v>
      </c>
    </row>
    <row r="5" spans="1:7" x14ac:dyDescent="0.3">
      <c r="A5" s="7" t="s">
        <v>647</v>
      </c>
      <c r="B5" s="9">
        <v>708415</v>
      </c>
      <c r="C5" s="9">
        <v>761700</v>
      </c>
      <c r="D5" s="9">
        <v>2539</v>
      </c>
      <c r="E5" s="9">
        <v>9795</v>
      </c>
      <c r="F5" s="9">
        <v>2505</v>
      </c>
      <c r="G5" s="8">
        <v>187</v>
      </c>
    </row>
    <row r="6" spans="1:7" x14ac:dyDescent="0.3">
      <c r="A6" s="7" t="s">
        <v>19</v>
      </c>
      <c r="B6" s="9">
        <v>216050</v>
      </c>
      <c r="C6" s="9">
        <v>396200</v>
      </c>
      <c r="D6" s="9">
        <v>7924</v>
      </c>
      <c r="E6" s="9">
        <v>4967.5</v>
      </c>
      <c r="F6" s="9">
        <v>7705</v>
      </c>
      <c r="G6" s="8">
        <v>614</v>
      </c>
    </row>
    <row r="7" spans="1:7" x14ac:dyDescent="0.3">
      <c r="A7" s="7" t="s">
        <v>1033</v>
      </c>
      <c r="B7" s="8">
        <v>1665125</v>
      </c>
      <c r="C7" s="8">
        <v>2272550</v>
      </c>
      <c r="D7" s="8">
        <v>12940</v>
      </c>
      <c r="E7" s="8">
        <v>29252.5</v>
      </c>
      <c r="F7" s="8">
        <v>12650</v>
      </c>
      <c r="G7" s="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Products</vt:lpstr>
      <vt:lpstr>Region Analysis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Dato Beraia</cp:lastModifiedBy>
  <dcterms:created xsi:type="dcterms:W3CDTF">2026-08-19T08:03:32Z</dcterms:created>
  <dcterms:modified xsi:type="dcterms:W3CDTF">2026-08-20T07:46:59Z</dcterms:modified>
</cp:coreProperties>
</file>